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nan\Desktop\data analyst project\excel\"/>
    </mc:Choice>
  </mc:AlternateContent>
  <xr:revisionPtr revIDLastSave="0" documentId="13_ncr:1_{A86C1B16-FC76-41CD-B71F-4F41A254D00D}" xr6:coauthVersionLast="47" xr6:coauthVersionMax="47" xr10:uidLastSave="{00000000-0000-0000-0000-000000000000}"/>
  <bookViews>
    <workbookView xWindow="-108" yWindow="-108" windowWidth="23256" windowHeight="12456" xr2:uid="{27C3F014-55C5-4DFC-871D-5A876D4752CF}"/>
  </bookViews>
  <sheets>
    <sheet name="Sheet1" sheetId="2" r:id="rId1"/>
    <sheet name="shop_inventory_data (1)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2" i="1"/>
  <c r="M2" i="1" a="1"/>
  <c r="M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<sst xmlns="http://schemas.openxmlformats.org/spreadsheetml/2006/main" count="327" uniqueCount="180">
  <si>
    <t>Product_ID</t>
  </si>
  <si>
    <t>Product_Name</t>
  </si>
  <si>
    <t>Category</t>
  </si>
  <si>
    <t>Supplier</t>
  </si>
  <si>
    <t>Stock_Quantity</t>
  </si>
  <si>
    <t>Reorder_Level</t>
  </si>
  <si>
    <t>Cost_Price</t>
  </si>
  <si>
    <t>Selling_Price</t>
  </si>
  <si>
    <t>Units_Sold_This_Month</t>
  </si>
  <si>
    <t>P1001</t>
  </si>
  <si>
    <t>LED Bulb 9W</t>
  </si>
  <si>
    <t>Nova Mart Supply</t>
  </si>
  <si>
    <t>P1002</t>
  </si>
  <si>
    <t>USB Cable Type-C</t>
  </si>
  <si>
    <t>Electronics</t>
  </si>
  <si>
    <t>P1003</t>
  </si>
  <si>
    <t>Wireless Mouse</t>
  </si>
  <si>
    <t>P1004</t>
  </si>
  <si>
    <t>Bluetooth Earphones</t>
  </si>
  <si>
    <t>Apex Traders</t>
  </si>
  <si>
    <t>P1005</t>
  </si>
  <si>
    <t>Power Bank 10000mAh</t>
  </si>
  <si>
    <t>Royal Enterprises</t>
  </si>
  <si>
    <t>P1006</t>
  </si>
  <si>
    <t>Extension Cord 5m</t>
  </si>
  <si>
    <t>P1007</t>
  </si>
  <si>
    <t>Mobile Charger</t>
  </si>
  <si>
    <t>P1008</t>
  </si>
  <si>
    <t>HDMI Cable</t>
  </si>
  <si>
    <t>P1009</t>
  </si>
  <si>
    <t>Laptop Bag</t>
  </si>
  <si>
    <t>Shreeji Distributors</t>
  </si>
  <si>
    <t>P1010</t>
  </si>
  <si>
    <t>Table Lamp</t>
  </si>
  <si>
    <t>Ganesh Suppliers</t>
  </si>
  <si>
    <t>P1011</t>
  </si>
  <si>
    <t>Wall Clock Digital</t>
  </si>
  <si>
    <t>P1012</t>
  </si>
  <si>
    <t>Calculator Scientific</t>
  </si>
  <si>
    <t>P1013</t>
  </si>
  <si>
    <t>Torch Light LED</t>
  </si>
  <si>
    <t>P1014</t>
  </si>
  <si>
    <t>Earphone Wired</t>
  </si>
  <si>
    <t>P1015</t>
  </si>
  <si>
    <t>Smart Watch Band</t>
  </si>
  <si>
    <t>P1016</t>
  </si>
  <si>
    <t>Basmati Rice 5kg</t>
  </si>
  <si>
    <t>Groceries</t>
  </si>
  <si>
    <t>P1017</t>
  </si>
  <si>
    <t>Sunflower Oil 1L</t>
  </si>
  <si>
    <t>P1018</t>
  </si>
  <si>
    <t>P1019</t>
  </si>
  <si>
    <t>Sugar 1kg</t>
  </si>
  <si>
    <t>P1020</t>
  </si>
  <si>
    <t>Tea Powder 250g</t>
  </si>
  <si>
    <t>P1021</t>
  </si>
  <si>
    <t>Wheat Flour 5kg</t>
  </si>
  <si>
    <t>P1022</t>
  </si>
  <si>
    <t>Salt 1kg</t>
  </si>
  <si>
    <t>Metro Wholesale</t>
  </si>
  <si>
    <t>P1023</t>
  </si>
  <si>
    <t>Coffee Powder 200g</t>
  </si>
  <si>
    <t>P1024</t>
  </si>
  <si>
    <t>Besan 500g</t>
  </si>
  <si>
    <t>P1025</t>
  </si>
  <si>
    <t>Rava 1kg</t>
  </si>
  <si>
    <t>P1026</t>
  </si>
  <si>
    <t>Moong Dal 1kg</t>
  </si>
  <si>
    <t>P1027</t>
  </si>
  <si>
    <t>Mustard Oil 1L</t>
  </si>
  <si>
    <t>P1028</t>
  </si>
  <si>
    <t>Jaggery 500g</t>
  </si>
  <si>
    <t>P1029</t>
  </si>
  <si>
    <t>Poha 500g</t>
  </si>
  <si>
    <t>P1030</t>
  </si>
  <si>
    <t>Semiya 200g</t>
  </si>
  <si>
    <t>P1031</t>
  </si>
  <si>
    <t>A4 Paper Ream</t>
  </si>
  <si>
    <t>Stationery</t>
  </si>
  <si>
    <t>P1032</t>
  </si>
  <si>
    <t>Ball Pen Pack</t>
  </si>
  <si>
    <t>P1033</t>
  </si>
  <si>
    <t>Notebook 200pg</t>
  </si>
  <si>
    <t>P1034</t>
  </si>
  <si>
    <t>Stapler</t>
  </si>
  <si>
    <t>P1035</t>
  </si>
  <si>
    <t>Highlighter Set</t>
  </si>
  <si>
    <t>P1036</t>
  </si>
  <si>
    <t>Pencil Box</t>
  </si>
  <si>
    <t>P1037</t>
  </si>
  <si>
    <t>Sketch Pens 12pc</t>
  </si>
  <si>
    <t>P1038</t>
  </si>
  <si>
    <t>Glue Stick</t>
  </si>
  <si>
    <t>P1039</t>
  </si>
  <si>
    <t>Scissors</t>
  </si>
  <si>
    <t>P1040</t>
  </si>
  <si>
    <t>File Folder</t>
  </si>
  <si>
    <t>P1041</t>
  </si>
  <si>
    <t>Whiteboard Marker</t>
  </si>
  <si>
    <t>P1042</t>
  </si>
  <si>
    <t>Eraser Pack</t>
  </si>
  <si>
    <t>P1043</t>
  </si>
  <si>
    <t>Geometry Box</t>
  </si>
  <si>
    <t>P1044</t>
  </si>
  <si>
    <t>Sticky Notes</t>
  </si>
  <si>
    <t>P1045</t>
  </si>
  <si>
    <t>Envelope Pack</t>
  </si>
  <si>
    <t>P1046</t>
  </si>
  <si>
    <t>Dishwash Liquid 500ml</t>
  </si>
  <si>
    <t>Home Care</t>
  </si>
  <si>
    <t>P1047</t>
  </si>
  <si>
    <t>Floor Cleaner 1L</t>
  </si>
  <si>
    <t>P1048</t>
  </si>
  <si>
    <t>P1049</t>
  </si>
  <si>
    <t>Detergent Powder 1kg</t>
  </si>
  <si>
    <t>P1050</t>
  </si>
  <si>
    <t>Hand Wash 250ml</t>
  </si>
  <si>
    <t>P1051</t>
  </si>
  <si>
    <t>Air Freshener</t>
  </si>
  <si>
    <t>P1052</t>
  </si>
  <si>
    <t>Mop Set</t>
  </si>
  <si>
    <t>P1053</t>
  </si>
  <si>
    <t>Dustbin Small</t>
  </si>
  <si>
    <t>P1054</t>
  </si>
  <si>
    <t>Tissue Box</t>
  </si>
  <si>
    <t>P1055</t>
  </si>
  <si>
    <t>Garbage Bags Pack</t>
  </si>
  <si>
    <t>P1056</t>
  </si>
  <si>
    <t>Glass Cleaner</t>
  </si>
  <si>
    <t>P1057</t>
  </si>
  <si>
    <t>Phenyl 500ml</t>
  </si>
  <si>
    <t>P1058</t>
  </si>
  <si>
    <t>Washing Powder 2kg</t>
  </si>
  <si>
    <t>P1059</t>
  </si>
  <si>
    <t>Scrub Pad Pack</t>
  </si>
  <si>
    <t>P1060</t>
  </si>
  <si>
    <t>Broom</t>
  </si>
  <si>
    <t>P1061</t>
  </si>
  <si>
    <t>Shampoo 200ml</t>
  </si>
  <si>
    <t>Personal Care</t>
  </si>
  <si>
    <t>P1062</t>
  </si>
  <si>
    <t>Soap Pack 4pc</t>
  </si>
  <si>
    <t>P1063</t>
  </si>
  <si>
    <t>Toothpaste 150g</t>
  </si>
  <si>
    <t>P1064</t>
  </si>
  <si>
    <t>Face Wash 100ml</t>
  </si>
  <si>
    <t>P1065</t>
  </si>
  <si>
    <t>Hair Oil 200ml</t>
  </si>
  <si>
    <t>P1066</t>
  </si>
  <si>
    <t>Body Lotion 200ml</t>
  </si>
  <si>
    <t>P1067</t>
  </si>
  <si>
    <t>Razor Pack</t>
  </si>
  <si>
    <t>P1068</t>
  </si>
  <si>
    <t>Talcum Powder</t>
  </si>
  <si>
    <t>P1069</t>
  </si>
  <si>
    <t>Deodorant Spray</t>
  </si>
  <si>
    <t>P1070</t>
  </si>
  <si>
    <t>Toothbrush Pack</t>
  </si>
  <si>
    <t>P1071</t>
  </si>
  <si>
    <t>Sanitizer 100ml</t>
  </si>
  <si>
    <t>P1072</t>
  </si>
  <si>
    <t>Shaving Cream</t>
  </si>
  <si>
    <t>P1073</t>
  </si>
  <si>
    <t>Conditioner 200ml</t>
  </si>
  <si>
    <t>P1074</t>
  </si>
  <si>
    <t>Lip Balm</t>
  </si>
  <si>
    <t>P1075</t>
  </si>
  <si>
    <t>Cotton Pads</t>
  </si>
  <si>
    <t>Toor Dal 1kg</t>
  </si>
  <si>
    <t>Toilet Cleaner 500ml</t>
  </si>
  <si>
    <t xml:space="preserve"> Total_Profit</t>
  </si>
  <si>
    <t>Stock_Status</t>
  </si>
  <si>
    <t>Total_Profit</t>
  </si>
  <si>
    <t>Row Labels</t>
  </si>
  <si>
    <t>(blank)</t>
  </si>
  <si>
    <t>Grand Total</t>
  </si>
  <si>
    <t>Sum of  Total_Profit</t>
  </si>
  <si>
    <t>Column Labels</t>
  </si>
  <si>
    <t>Reorder Needed</t>
  </si>
  <si>
    <t>Sufficient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</si>
</sst>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[shop_inventory_data (1).xlsx]Sheet1!PivotTable1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91426071741034"/>
          <c:y val="0.11472003499562555"/>
          <c:w val="0.6322755905511811"/>
          <c:h val="0.508418270632837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Reorder Needed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Electronics</c:v>
                </c:pt>
                <c:pt idx="1">
                  <c:v>Groceries</c:v>
                </c:pt>
                <c:pt idx="2">
                  <c:v>Home Care</c:v>
                </c:pt>
                <c:pt idx="3">
                  <c:v>Personal Care</c:v>
                </c:pt>
                <c:pt idx="4">
                  <c:v>Stationery</c:v>
                </c:pt>
                <c:pt idx="5">
                  <c:v>(blank)</c:v>
                </c:pt>
              </c:strCache>
            </c:strRef>
          </c:cat>
          <c:val>
            <c:numRef>
              <c:f>Sheet1!$B$5:$B$11</c:f>
              <c:numCache>
                <c:formatCode>General</c:formatCode>
                <c:ptCount val="6"/>
                <c:pt idx="0">
                  <c:v>12690</c:v>
                </c:pt>
                <c:pt idx="1">
                  <c:v>20020</c:v>
                </c:pt>
                <c:pt idx="3">
                  <c:v>4440</c:v>
                </c:pt>
                <c:pt idx="4">
                  <c:v>28735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0-48F4-8333-83EC88CB710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Sufficient Stock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Electronics</c:v>
                </c:pt>
                <c:pt idx="1">
                  <c:v>Groceries</c:v>
                </c:pt>
                <c:pt idx="2">
                  <c:v>Home Care</c:v>
                </c:pt>
                <c:pt idx="3">
                  <c:v>Personal Care</c:v>
                </c:pt>
                <c:pt idx="4">
                  <c:v>Stationery</c:v>
                </c:pt>
                <c:pt idx="5">
                  <c:v>(blank)</c:v>
                </c:pt>
              </c:strCache>
            </c:strRef>
          </c:cat>
          <c:val>
            <c:numRef>
              <c:f>Sheet1!$C$5:$C$11</c:f>
              <c:numCache>
                <c:formatCode>General</c:formatCode>
                <c:ptCount val="6"/>
                <c:pt idx="0">
                  <c:v>33160</c:v>
                </c:pt>
                <c:pt idx="1">
                  <c:v>59040</c:v>
                </c:pt>
                <c:pt idx="2">
                  <c:v>71460</c:v>
                </c:pt>
                <c:pt idx="3">
                  <c:v>44190</c:v>
                </c:pt>
                <c:pt idx="4">
                  <c:v>28260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0-48F4-8333-83EC88CB7109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Electronics</c:v>
                </c:pt>
                <c:pt idx="1">
                  <c:v>Groceries</c:v>
                </c:pt>
                <c:pt idx="2">
                  <c:v>Home Care</c:v>
                </c:pt>
                <c:pt idx="3">
                  <c:v>Personal Care</c:v>
                </c:pt>
                <c:pt idx="4">
                  <c:v>Stationery</c:v>
                </c:pt>
                <c:pt idx="5">
                  <c:v>(blank)</c:v>
                </c:pt>
              </c:strCache>
            </c:strRef>
          </c:cat>
          <c:val>
            <c:numRef>
              <c:f>Sheet1!$D$5:$D$11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41F0-48F4-8333-83EC88CB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420192"/>
        <c:axId val="242312016"/>
      </c:barChart>
      <c:catAx>
        <c:axId val="2454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12016"/>
        <c:crosses val="autoZero"/>
        <c:auto val="1"/>
        <c:lblAlgn val="ctr"/>
        <c:lblOffset val="100"/>
        <c:noMultiLvlLbl val="0"/>
      </c:catAx>
      <c:valAx>
        <c:axId val="24231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2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1</xdr:row>
      <xdr:rowOff>114300</xdr:rowOff>
    </xdr:from>
    <xdr:to>
      <xdr:col>13</xdr:col>
      <xdr:colOff>243840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DFFB1-0802-CEEC-034E-913925C45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nan ak" refreshedDate="46300.59256967593" createdVersion="8" refreshedVersion="8" minRefreshableVersion="3" recordCount="77" xr:uid="{1E16191A-CDCD-412E-8614-3668E4CC4B50}">
  <cacheSource type="worksheet">
    <worksheetSource ref="A1:K78" sheet="shop_inventory_data (1)"/>
  </cacheSource>
  <cacheFields count="11">
    <cacheField name="Product_ID" numFmtId="0">
      <sharedItems containsBlank="1"/>
    </cacheField>
    <cacheField name="Product_Name" numFmtId="0">
      <sharedItems containsBlank="1"/>
    </cacheField>
    <cacheField name="Category" numFmtId="0">
      <sharedItems containsBlank="1" count="6">
        <s v="Electronics"/>
        <s v="Groceries"/>
        <s v="Stationery"/>
        <s v="Home Care"/>
        <s v="Personal Care"/>
        <m/>
      </sharedItems>
    </cacheField>
    <cacheField name="Supplier" numFmtId="0">
      <sharedItems containsBlank="1"/>
    </cacheField>
    <cacheField name="Stock_Quantity" numFmtId="0">
      <sharedItems containsString="0" containsBlank="1" containsNumber="1" containsInteger="1" minValue="0" maxValue="150"/>
    </cacheField>
    <cacheField name="Reorder_Level" numFmtId="0">
      <sharedItems containsString="0" containsBlank="1" containsNumber="1" containsInteger="1" minValue="15" maxValue="40"/>
    </cacheField>
    <cacheField name="Cost_Price" numFmtId="0">
      <sharedItems containsString="0" containsBlank="1" containsNumber="1" containsInteger="1" minValue="25" maxValue="500"/>
    </cacheField>
    <cacheField name="Selling_Price" numFmtId="0">
      <sharedItems containsString="0" containsBlank="1" containsNumber="1" containsInteger="1" minValue="30" maxValue="710"/>
    </cacheField>
    <cacheField name="Units_Sold_This_Month" numFmtId="0">
      <sharedItems containsString="0" containsBlank="1" containsNumber="1" containsInteger="1" minValue="5" maxValue="120"/>
    </cacheField>
    <cacheField name=" Total_Profit" numFmtId="0">
      <sharedItems containsString="0" containsBlank="1" containsNumber="1" containsInteger="1" minValue="240" maxValue="22260"/>
    </cacheField>
    <cacheField name="Stock_Status" numFmtId="0">
      <sharedItems containsBlank="1" count="3">
        <s v="Sufficient Stock"/>
        <s v="Reorder Need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P1001"/>
    <s v="LED Bulb 9W"/>
    <x v="0"/>
    <s v="Nova Mart Supply"/>
    <n v="70"/>
    <n v="30"/>
    <n v="55"/>
    <n v="70"/>
    <n v="88"/>
    <n v="1320"/>
    <x v="0"/>
  </r>
  <r>
    <s v="P1002"/>
    <s v="USB Cable Type-C"/>
    <x v="0"/>
    <s v="Nova Mart Supply"/>
    <n v="128"/>
    <n v="25"/>
    <n v="500"/>
    <n v="650"/>
    <n v="92"/>
    <n v="13800"/>
    <x v="0"/>
  </r>
  <r>
    <s v="P1003"/>
    <s v="Wireless Mouse"/>
    <x v="0"/>
    <s v="Nova Mart Supply"/>
    <n v="18"/>
    <n v="25"/>
    <n v="150"/>
    <n v="190"/>
    <n v="57"/>
    <n v="2280"/>
    <x v="1"/>
  </r>
  <r>
    <s v="P1004"/>
    <s v="Bluetooth Earphones"/>
    <x v="0"/>
    <s v="Apex Traders"/>
    <n v="13"/>
    <n v="40"/>
    <n v="180"/>
    <n v="230"/>
    <n v="115"/>
    <n v="5750"/>
    <x v="1"/>
  </r>
  <r>
    <s v="P1005"/>
    <s v="Power Bank 10000mAh"/>
    <x v="0"/>
    <s v="Royal Enterprises"/>
    <n v="71"/>
    <n v="25"/>
    <n v="260"/>
    <n v="330"/>
    <n v="76"/>
    <n v="5320"/>
    <x v="0"/>
  </r>
  <r>
    <s v="P1006"/>
    <s v="Extension Cord 5m"/>
    <x v="0"/>
    <s v="Royal Enterprises"/>
    <n v="14"/>
    <n v="25"/>
    <n v="70"/>
    <n v="80"/>
    <n v="118"/>
    <n v="1180"/>
    <x v="1"/>
  </r>
  <r>
    <s v="P1007"/>
    <s v="Mobile Charger"/>
    <x v="0"/>
    <s v="Apex Traders"/>
    <n v="16"/>
    <n v="25"/>
    <n v="70"/>
    <n v="100"/>
    <n v="20"/>
    <n v="600"/>
    <x v="1"/>
  </r>
  <r>
    <s v="P1008"/>
    <s v="HDMI Cable"/>
    <x v="0"/>
    <s v="Royal Enterprises"/>
    <n v="131"/>
    <n v="25"/>
    <n v="110"/>
    <n v="150"/>
    <n v="45"/>
    <n v="1800"/>
    <x v="0"/>
  </r>
  <r>
    <s v="P1009"/>
    <s v="Laptop Bag"/>
    <x v="0"/>
    <s v="Shreeji Distributors"/>
    <n v="77"/>
    <n v="40"/>
    <n v="110"/>
    <n v="140"/>
    <n v="55"/>
    <n v="1650"/>
    <x v="0"/>
  </r>
  <r>
    <s v="P1010"/>
    <s v="Table Lamp"/>
    <x v="0"/>
    <s v="Ganesh Suppliers"/>
    <n v="8"/>
    <n v="25"/>
    <n v="55"/>
    <n v="70"/>
    <n v="116"/>
    <n v="1740"/>
    <x v="1"/>
  </r>
  <r>
    <s v="P1011"/>
    <s v="Wall Clock Digital"/>
    <x v="0"/>
    <s v="Royal Enterprises"/>
    <n v="31"/>
    <n v="15"/>
    <n v="300"/>
    <n v="410"/>
    <n v="24"/>
    <n v="2640"/>
    <x v="0"/>
  </r>
  <r>
    <s v="P1012"/>
    <s v="Calculator Scientific"/>
    <x v="0"/>
    <s v="Shreeji Distributors"/>
    <n v="0"/>
    <n v="15"/>
    <n v="40"/>
    <n v="60"/>
    <n v="57"/>
    <n v="1140"/>
    <x v="1"/>
  </r>
  <r>
    <s v="P1013"/>
    <s v="Torch Light LED"/>
    <x v="0"/>
    <s v="Apex Traders"/>
    <n v="49"/>
    <n v="30"/>
    <n v="110"/>
    <n v="130"/>
    <n v="63"/>
    <n v="1260"/>
    <x v="0"/>
  </r>
  <r>
    <s v="P1014"/>
    <s v="Earphone Wired"/>
    <x v="0"/>
    <s v="Nova Mart Supply"/>
    <n v="150"/>
    <n v="40"/>
    <n v="150"/>
    <n v="210"/>
    <n v="63"/>
    <n v="3780"/>
    <x v="0"/>
  </r>
  <r>
    <s v="P1015"/>
    <s v="Smart Watch Band"/>
    <x v="0"/>
    <s v="Apex Traders"/>
    <n v="123"/>
    <n v="30"/>
    <n v="150"/>
    <n v="180"/>
    <n v="53"/>
    <n v="1590"/>
    <x v="0"/>
  </r>
  <r>
    <s v="P1016"/>
    <s v="Basmati Rice 5kg"/>
    <x v="1"/>
    <s v="Apex Traders"/>
    <n v="62"/>
    <n v="15"/>
    <n v="40"/>
    <n v="50"/>
    <n v="74"/>
    <n v="740"/>
    <x v="0"/>
  </r>
  <r>
    <s v="P1017"/>
    <s v="Sunflower Oil 1L"/>
    <x v="1"/>
    <s v="Royal Enterprises"/>
    <n v="41"/>
    <n v="30"/>
    <n v="150"/>
    <n v="210"/>
    <n v="98"/>
    <n v="5880"/>
    <x v="0"/>
  </r>
  <r>
    <s v="P1018"/>
    <s v="Toor Dal 1kg"/>
    <x v="1"/>
    <s v="Nova Mart Supply"/>
    <n v="22"/>
    <n v="40"/>
    <n v="150"/>
    <n v="170"/>
    <n v="98"/>
    <n v="1960"/>
    <x v="1"/>
  </r>
  <r>
    <s v="P1019"/>
    <s v="Sugar 1kg"/>
    <x v="1"/>
    <s v="Apex Traders"/>
    <n v="129"/>
    <n v="30"/>
    <n v="150"/>
    <n v="190"/>
    <n v="38"/>
    <n v="1520"/>
    <x v="0"/>
  </r>
  <r>
    <s v="P1020"/>
    <s v="Tea Powder 250g"/>
    <x v="1"/>
    <s v="Ganesh Suppliers"/>
    <n v="123"/>
    <n v="30"/>
    <n v="500"/>
    <n v="670"/>
    <n v="7"/>
    <n v="1190"/>
    <x v="0"/>
  </r>
  <r>
    <s v="P1021"/>
    <s v="Wheat Flour 5kg"/>
    <x v="1"/>
    <s v="Ganesh Suppliers"/>
    <n v="83"/>
    <n v="20"/>
    <n v="110"/>
    <n v="150"/>
    <n v="18"/>
    <n v="720"/>
    <x v="0"/>
  </r>
  <r>
    <s v="P1022"/>
    <s v="Salt 1kg"/>
    <x v="1"/>
    <s v="Metro Wholesale"/>
    <n v="73"/>
    <n v="40"/>
    <n v="500"/>
    <n v="680"/>
    <n v="27"/>
    <n v="4860"/>
    <x v="0"/>
  </r>
  <r>
    <s v="P1023"/>
    <s v="Coffee Powder 200g"/>
    <x v="1"/>
    <s v="Royal Enterprises"/>
    <n v="111"/>
    <n v="25"/>
    <n v="110"/>
    <n v="150"/>
    <n v="87"/>
    <n v="3480"/>
    <x v="0"/>
  </r>
  <r>
    <s v="P1024"/>
    <s v="Besan 500g"/>
    <x v="1"/>
    <s v="Apex Traders"/>
    <n v="130"/>
    <n v="15"/>
    <n v="350"/>
    <n v="490"/>
    <n v="113"/>
    <n v="15820"/>
    <x v="0"/>
  </r>
  <r>
    <s v="P1025"/>
    <s v="Rava 1kg"/>
    <x v="1"/>
    <s v="Royal Enterprises"/>
    <n v="3"/>
    <n v="20"/>
    <n v="260"/>
    <n v="370"/>
    <n v="66"/>
    <n v="7260"/>
    <x v="1"/>
  </r>
  <r>
    <s v="P1026"/>
    <s v="Moong Dal 1kg"/>
    <x v="1"/>
    <s v="Shreeji Distributors"/>
    <n v="149"/>
    <n v="15"/>
    <n v="350"/>
    <n v="430"/>
    <n v="78"/>
    <n v="6240"/>
    <x v="0"/>
  </r>
  <r>
    <s v="P1027"/>
    <s v="Mustard Oil 1L"/>
    <x v="1"/>
    <s v="Shreeji Distributors"/>
    <n v="50"/>
    <n v="40"/>
    <n v="70"/>
    <n v="100"/>
    <n v="14"/>
    <n v="420"/>
    <x v="0"/>
  </r>
  <r>
    <s v="P1028"/>
    <s v="Jaggery 500g"/>
    <x v="1"/>
    <s v="Shreeji Distributors"/>
    <n v="2"/>
    <n v="40"/>
    <n v="500"/>
    <n v="680"/>
    <n v="60"/>
    <n v="10800"/>
    <x v="1"/>
  </r>
  <r>
    <s v="P1029"/>
    <s v="Poha 500g"/>
    <x v="1"/>
    <s v="Nova Mart Supply"/>
    <n v="39"/>
    <n v="30"/>
    <n v="260"/>
    <n v="330"/>
    <n v="7"/>
    <n v="490"/>
    <x v="0"/>
  </r>
  <r>
    <s v="P1030"/>
    <s v="Semiya 200g"/>
    <x v="1"/>
    <s v="Shreeji Distributors"/>
    <n v="116"/>
    <n v="15"/>
    <n v="420"/>
    <n v="590"/>
    <n v="104"/>
    <n v="17680"/>
    <x v="0"/>
  </r>
  <r>
    <s v="P1031"/>
    <s v="A4 Paper Ream"/>
    <x v="2"/>
    <s v="Shreeji Distributors"/>
    <n v="142"/>
    <n v="20"/>
    <n v="220"/>
    <n v="300"/>
    <n v="91"/>
    <n v="7280"/>
    <x v="0"/>
  </r>
  <r>
    <s v="P1032"/>
    <s v="Ball Pen Pack"/>
    <x v="2"/>
    <s v="Shreeji Distributors"/>
    <n v="127"/>
    <n v="25"/>
    <n v="110"/>
    <n v="140"/>
    <n v="8"/>
    <n v="240"/>
    <x v="0"/>
  </r>
  <r>
    <s v="P1033"/>
    <s v="Notebook 200pg"/>
    <x v="2"/>
    <s v="Royal Enterprises"/>
    <n v="1"/>
    <n v="30"/>
    <n v="420"/>
    <n v="600"/>
    <n v="115"/>
    <n v="20700"/>
    <x v="1"/>
  </r>
  <r>
    <s v="P1034"/>
    <s v="Stapler"/>
    <x v="2"/>
    <s v="Apex Traders"/>
    <n v="134"/>
    <n v="20"/>
    <n v="220"/>
    <n v="270"/>
    <n v="97"/>
    <n v="4850"/>
    <x v="0"/>
  </r>
  <r>
    <s v="P1035"/>
    <s v="Highlighter Set"/>
    <x v="2"/>
    <s v="Apex Traders"/>
    <n v="126"/>
    <n v="30"/>
    <n v="40"/>
    <n v="50"/>
    <n v="39"/>
    <n v="390"/>
    <x v="0"/>
  </r>
  <r>
    <s v="P1036"/>
    <s v="Pencil Box"/>
    <x v="2"/>
    <s v="Metro Wholesale"/>
    <n v="51"/>
    <n v="20"/>
    <n v="420"/>
    <n v="490"/>
    <n v="38"/>
    <n v="2660"/>
    <x v="0"/>
  </r>
  <r>
    <s v="P1037"/>
    <s v="Sketch Pens 12pc"/>
    <x v="2"/>
    <s v="Shreeji Distributors"/>
    <n v="33"/>
    <n v="20"/>
    <n v="55"/>
    <n v="70"/>
    <n v="107"/>
    <n v="1605"/>
    <x v="0"/>
  </r>
  <r>
    <s v="P1038"/>
    <s v="Glue Stick"/>
    <x v="2"/>
    <s v="Ganesh Suppliers"/>
    <n v="82"/>
    <n v="20"/>
    <n v="180"/>
    <n v="230"/>
    <n v="5"/>
    <n v="250"/>
    <x v="0"/>
  </r>
  <r>
    <s v="P1039"/>
    <s v="Scissors"/>
    <x v="2"/>
    <s v="Shreeji Distributors"/>
    <n v="86"/>
    <n v="20"/>
    <n v="25"/>
    <n v="30"/>
    <n v="51"/>
    <n v="255"/>
    <x v="0"/>
  </r>
  <r>
    <s v="P1040"/>
    <s v="File Folder"/>
    <x v="2"/>
    <s v="Royal Enterprises"/>
    <n v="2"/>
    <n v="30"/>
    <n v="90"/>
    <n v="110"/>
    <n v="62"/>
    <n v="1240"/>
    <x v="1"/>
  </r>
  <r>
    <s v="P1041"/>
    <s v="Whiteboard Marker"/>
    <x v="2"/>
    <s v="Nova Mart Supply"/>
    <n v="68"/>
    <n v="20"/>
    <n v="130"/>
    <n v="170"/>
    <n v="102"/>
    <n v="4080"/>
    <x v="0"/>
  </r>
  <r>
    <s v="P1042"/>
    <s v="Eraser Pack"/>
    <x v="2"/>
    <s v="Shreeji Distributors"/>
    <n v="6"/>
    <n v="25"/>
    <n v="90"/>
    <n v="110"/>
    <n v="15"/>
    <n v="300"/>
    <x v="1"/>
  </r>
  <r>
    <s v="P1043"/>
    <s v="Geometry Box"/>
    <x v="2"/>
    <s v="Shreeji Distributors"/>
    <n v="98"/>
    <n v="25"/>
    <n v="420"/>
    <n v="610"/>
    <n v="35"/>
    <n v="6650"/>
    <x v="0"/>
  </r>
  <r>
    <s v="P1044"/>
    <s v="Sticky Notes"/>
    <x v="2"/>
    <s v="Ganesh Suppliers"/>
    <n v="33"/>
    <n v="40"/>
    <n v="25"/>
    <n v="40"/>
    <n v="25"/>
    <n v="375"/>
    <x v="1"/>
  </r>
  <r>
    <s v="P1045"/>
    <s v="Envelope Pack"/>
    <x v="2"/>
    <s v="Ganesh Suppliers"/>
    <n v="19"/>
    <n v="40"/>
    <n v="220"/>
    <n v="310"/>
    <n v="68"/>
    <n v="6120"/>
    <x v="1"/>
  </r>
  <r>
    <s v="P1046"/>
    <s v="Dishwash Liquid 500ml"/>
    <x v="3"/>
    <s v="Metro Wholesale"/>
    <n v="110"/>
    <n v="25"/>
    <n v="350"/>
    <n v="420"/>
    <n v="41"/>
    <n v="2870"/>
    <x v="0"/>
  </r>
  <r>
    <s v="P1047"/>
    <s v="Floor Cleaner 1L"/>
    <x v="3"/>
    <s v="Royal Enterprises"/>
    <n v="111"/>
    <n v="20"/>
    <n v="130"/>
    <n v="180"/>
    <n v="80"/>
    <n v="4000"/>
    <x v="0"/>
  </r>
  <r>
    <s v="P1048"/>
    <s v="Toilet Cleaner 500ml"/>
    <x v="3"/>
    <s v="Royal Enterprises"/>
    <n v="116"/>
    <n v="30"/>
    <n v="300"/>
    <n v="430"/>
    <n v="86"/>
    <n v="11180"/>
    <x v="0"/>
  </r>
  <r>
    <s v="P1049"/>
    <s v="Detergent Powder 1kg"/>
    <x v="3"/>
    <s v="Ganesh Suppliers"/>
    <n v="112"/>
    <n v="20"/>
    <n v="40"/>
    <n v="50"/>
    <n v="40"/>
    <n v="400"/>
    <x v="0"/>
  </r>
  <r>
    <s v="P1050"/>
    <s v="Hand Wash 250ml"/>
    <x v="3"/>
    <s v="Metro Wholesale"/>
    <n v="41"/>
    <n v="20"/>
    <n v="420"/>
    <n v="490"/>
    <n v="54"/>
    <n v="3780"/>
    <x v="0"/>
  </r>
  <r>
    <s v="P1051"/>
    <s v="Air Freshener"/>
    <x v="3"/>
    <s v="Apex Traders"/>
    <n v="108"/>
    <n v="20"/>
    <n v="150"/>
    <n v="210"/>
    <n v="102"/>
    <n v="6120"/>
    <x v="0"/>
  </r>
  <r>
    <s v="P1052"/>
    <s v="Mop Set"/>
    <x v="3"/>
    <s v="Metro Wholesale"/>
    <n v="133"/>
    <n v="30"/>
    <n v="40"/>
    <n v="60"/>
    <n v="120"/>
    <n v="2400"/>
    <x v="0"/>
  </r>
  <r>
    <s v="P1053"/>
    <s v="Dustbin Small"/>
    <x v="3"/>
    <s v="Metro Wholesale"/>
    <n v="128"/>
    <n v="15"/>
    <n v="500"/>
    <n v="710"/>
    <n v="106"/>
    <n v="22260"/>
    <x v="0"/>
  </r>
  <r>
    <s v="P1054"/>
    <s v="Tissue Box"/>
    <x v="3"/>
    <s v="Ganesh Suppliers"/>
    <n v="135"/>
    <n v="30"/>
    <n v="40"/>
    <n v="60"/>
    <n v="53"/>
    <n v="1060"/>
    <x v="0"/>
  </r>
  <r>
    <s v="P1055"/>
    <s v="Garbage Bags Pack"/>
    <x v="3"/>
    <s v="Shreeji Distributors"/>
    <n v="113"/>
    <n v="30"/>
    <n v="220"/>
    <n v="260"/>
    <n v="32"/>
    <n v="1280"/>
    <x v="0"/>
  </r>
  <r>
    <s v="P1056"/>
    <s v="Glass Cleaner"/>
    <x v="3"/>
    <s v="Nova Mart Supply"/>
    <n v="138"/>
    <n v="40"/>
    <n v="420"/>
    <n v="520"/>
    <n v="60"/>
    <n v="6000"/>
    <x v="0"/>
  </r>
  <r>
    <s v="P1057"/>
    <s v="Phenyl 500ml"/>
    <x v="3"/>
    <s v="Apex Traders"/>
    <n v="60"/>
    <n v="30"/>
    <n v="220"/>
    <n v="280"/>
    <n v="37"/>
    <n v="2220"/>
    <x v="0"/>
  </r>
  <r>
    <s v="P1058"/>
    <s v="Washing Powder 2kg"/>
    <x v="3"/>
    <s v="Shreeji Distributors"/>
    <n v="123"/>
    <n v="25"/>
    <n v="90"/>
    <n v="110"/>
    <n v="110"/>
    <n v="2200"/>
    <x v="0"/>
  </r>
  <r>
    <s v="P1059"/>
    <s v="Scrub Pad Pack"/>
    <x v="3"/>
    <s v="Shreeji Distributors"/>
    <n v="77"/>
    <n v="20"/>
    <n v="500"/>
    <n v="620"/>
    <n v="44"/>
    <n v="5280"/>
    <x v="0"/>
  </r>
  <r>
    <s v="P1060"/>
    <s v="Broom"/>
    <x v="3"/>
    <s v="Ganesh Suppliers"/>
    <n v="62"/>
    <n v="25"/>
    <n v="25"/>
    <n v="30"/>
    <n v="82"/>
    <n v="410"/>
    <x v="0"/>
  </r>
  <r>
    <s v="P1061"/>
    <s v="Shampoo 200ml"/>
    <x v="4"/>
    <s v="Ganesh Suppliers"/>
    <n v="93"/>
    <n v="25"/>
    <n v="420"/>
    <n v="550"/>
    <n v="93"/>
    <n v="12090"/>
    <x v="0"/>
  </r>
  <r>
    <s v="P1062"/>
    <s v="Soap Pack 4pc"/>
    <x v="4"/>
    <s v="Shreeji Distributors"/>
    <n v="81"/>
    <n v="20"/>
    <n v="70"/>
    <n v="80"/>
    <n v="75"/>
    <n v="750"/>
    <x v="0"/>
  </r>
  <r>
    <s v="P1063"/>
    <s v="Toothpaste 150g"/>
    <x v="4"/>
    <s v="Royal Enterprises"/>
    <n v="84"/>
    <n v="25"/>
    <n v="90"/>
    <n v="120"/>
    <n v="49"/>
    <n v="1470"/>
    <x v="0"/>
  </r>
  <r>
    <s v="P1064"/>
    <s v="Face Wash 100ml"/>
    <x v="4"/>
    <s v="Shreeji Distributors"/>
    <n v="46"/>
    <n v="40"/>
    <n v="90"/>
    <n v="120"/>
    <n v="120"/>
    <n v="3600"/>
    <x v="0"/>
  </r>
  <r>
    <s v="P1065"/>
    <s v="Hair Oil 200ml"/>
    <x v="4"/>
    <s v="Metro Wholesale"/>
    <n v="73"/>
    <n v="15"/>
    <n v="25"/>
    <n v="40"/>
    <n v="110"/>
    <n v="1650"/>
    <x v="0"/>
  </r>
  <r>
    <s v="P1066"/>
    <s v="Body Lotion 200ml"/>
    <x v="4"/>
    <s v="Ganesh Suppliers"/>
    <n v="27"/>
    <n v="30"/>
    <n v="180"/>
    <n v="220"/>
    <n v="111"/>
    <n v="4440"/>
    <x v="1"/>
  </r>
  <r>
    <s v="P1067"/>
    <s v="Razor Pack"/>
    <x v="4"/>
    <s v="Nova Mart Supply"/>
    <n v="65"/>
    <n v="25"/>
    <n v="260"/>
    <n v="330"/>
    <n v="36"/>
    <n v="2520"/>
    <x v="0"/>
  </r>
  <r>
    <s v="P1068"/>
    <s v="Talcum Powder"/>
    <x v="4"/>
    <s v="Shreeji Distributors"/>
    <n v="140"/>
    <n v="30"/>
    <n v="220"/>
    <n v="250"/>
    <n v="99"/>
    <n v="2970"/>
    <x v="0"/>
  </r>
  <r>
    <s v="P1069"/>
    <s v="Deodorant Spray"/>
    <x v="4"/>
    <s v="Royal Enterprises"/>
    <n v="77"/>
    <n v="15"/>
    <n v="40"/>
    <n v="50"/>
    <n v="46"/>
    <n v="460"/>
    <x v="0"/>
  </r>
  <r>
    <s v="P1070"/>
    <s v="Toothbrush Pack"/>
    <x v="4"/>
    <s v="Ganesh Suppliers"/>
    <n v="45"/>
    <n v="30"/>
    <n v="220"/>
    <n v="280"/>
    <n v="23"/>
    <n v="1380"/>
    <x v="0"/>
  </r>
  <r>
    <s v="P1071"/>
    <s v="Sanitizer 100ml"/>
    <x v="4"/>
    <s v="Royal Enterprises"/>
    <n v="45"/>
    <n v="30"/>
    <n v="90"/>
    <n v="110"/>
    <n v="108"/>
    <n v="2160"/>
    <x v="0"/>
  </r>
  <r>
    <s v="P1072"/>
    <s v="Shaving Cream"/>
    <x v="4"/>
    <s v="Apex Traders"/>
    <n v="75"/>
    <n v="25"/>
    <n v="110"/>
    <n v="140"/>
    <n v="46"/>
    <n v="1380"/>
    <x v="0"/>
  </r>
  <r>
    <s v="P1073"/>
    <s v="Conditioner 200ml"/>
    <x v="4"/>
    <s v="Royal Enterprises"/>
    <n v="40"/>
    <n v="40"/>
    <n v="220"/>
    <n v="250"/>
    <n v="13"/>
    <n v="390"/>
    <x v="0"/>
  </r>
  <r>
    <s v="P1074"/>
    <s v="Lip Balm"/>
    <x v="4"/>
    <s v="Ganesh Suppliers"/>
    <n v="81"/>
    <n v="20"/>
    <n v="180"/>
    <n v="250"/>
    <n v="116"/>
    <n v="8120"/>
    <x v="0"/>
  </r>
  <r>
    <s v="P1075"/>
    <s v="Cotton Pads"/>
    <x v="4"/>
    <s v="Metro Wholesale"/>
    <n v="32"/>
    <n v="30"/>
    <n v="500"/>
    <n v="650"/>
    <n v="35"/>
    <n v="5250"/>
    <x v="0"/>
  </r>
  <r>
    <m/>
    <m/>
    <x v="5"/>
    <m/>
    <m/>
    <m/>
    <m/>
    <m/>
    <m/>
    <m/>
    <x v="2"/>
  </r>
  <r>
    <m/>
    <m/>
    <x v="5"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1DD2A-9182-432A-9B64-7EBDE50C84C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1" firstHeaderRow="1" firstDataRow="2" firstDataCol="1"/>
  <pivotFields count="11">
    <pivotField showAll="0"/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1"/>
        <item x="0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 Total_Profit" fld="9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8BC9-E9AB-4A98-B479-470306A652AB}">
  <dimension ref="A3:E11"/>
  <sheetViews>
    <sheetView tabSelected="1" workbookViewId="0">
      <selection activeCell="C7" sqref="C7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14.21875" bestFit="1" customWidth="1"/>
    <col min="4" max="4" width="7" bestFit="1" customWidth="1"/>
    <col min="5" max="5" width="10.77734375" bestFit="1" customWidth="1"/>
  </cols>
  <sheetData>
    <row r="3" spans="1:5" x14ac:dyDescent="0.3">
      <c r="A3" s="1" t="s">
        <v>176</v>
      </c>
      <c r="B3" s="1" t="s">
        <v>177</v>
      </c>
    </row>
    <row r="4" spans="1:5" x14ac:dyDescent="0.3">
      <c r="A4" s="1" t="s">
        <v>173</v>
      </c>
      <c r="B4" t="s">
        <v>178</v>
      </c>
      <c r="C4" t="s">
        <v>179</v>
      </c>
      <c r="D4" t="s">
        <v>174</v>
      </c>
      <c r="E4" t="s">
        <v>175</v>
      </c>
    </row>
    <row r="5" spans="1:5" x14ac:dyDescent="0.3">
      <c r="A5" s="2" t="s">
        <v>14</v>
      </c>
      <c r="B5" s="3">
        <v>12690</v>
      </c>
      <c r="C5" s="3">
        <v>33160</v>
      </c>
      <c r="D5" s="3"/>
      <c r="E5" s="3">
        <v>45850</v>
      </c>
    </row>
    <row r="6" spans="1:5" x14ac:dyDescent="0.3">
      <c r="A6" s="2" t="s">
        <v>47</v>
      </c>
      <c r="B6" s="3">
        <v>20020</v>
      </c>
      <c r="C6" s="3">
        <v>59040</v>
      </c>
      <c r="D6" s="3"/>
      <c r="E6" s="3">
        <v>79060</v>
      </c>
    </row>
    <row r="7" spans="1:5" x14ac:dyDescent="0.3">
      <c r="A7" s="2" t="s">
        <v>109</v>
      </c>
      <c r="B7" s="3"/>
      <c r="C7" s="3">
        <v>71460</v>
      </c>
      <c r="D7" s="3"/>
      <c r="E7" s="3">
        <v>71460</v>
      </c>
    </row>
    <row r="8" spans="1:5" x14ac:dyDescent="0.3">
      <c r="A8" s="2" t="s">
        <v>139</v>
      </c>
      <c r="B8" s="3">
        <v>4440</v>
      </c>
      <c r="C8" s="3">
        <v>44190</v>
      </c>
      <c r="D8" s="3"/>
      <c r="E8" s="3">
        <v>48630</v>
      </c>
    </row>
    <row r="9" spans="1:5" x14ac:dyDescent="0.3">
      <c r="A9" s="2" t="s">
        <v>78</v>
      </c>
      <c r="B9" s="3">
        <v>28735</v>
      </c>
      <c r="C9" s="3">
        <v>28260</v>
      </c>
      <c r="D9" s="3"/>
      <c r="E9" s="3">
        <v>56995</v>
      </c>
    </row>
    <row r="10" spans="1:5" x14ac:dyDescent="0.3">
      <c r="A10" s="2" t="s">
        <v>174</v>
      </c>
      <c r="B10" s="3"/>
      <c r="C10" s="3"/>
      <c r="D10" s="3"/>
      <c r="E10" s="3"/>
    </row>
    <row r="11" spans="1:5" x14ac:dyDescent="0.3">
      <c r="A11" s="2" t="s">
        <v>175</v>
      </c>
      <c r="B11" s="3">
        <v>65885</v>
      </c>
      <c r="C11" s="3">
        <v>236110</v>
      </c>
      <c r="D11" s="3"/>
      <c r="E11" s="3">
        <v>301995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1FB8-AEF8-4553-A440-36B32178D27F}">
  <dimension ref="A1:N76"/>
  <sheetViews>
    <sheetView topLeftCell="A51" zoomScale="66" workbookViewId="0">
      <selection activeCell="M25" sqref="M25"/>
    </sheetView>
  </sheetViews>
  <sheetFormatPr defaultRowHeight="14.4" x14ac:dyDescent="0.3"/>
  <cols>
    <col min="1" max="1" width="16.44140625" customWidth="1"/>
    <col min="2" max="2" width="24.5546875" customWidth="1"/>
    <col min="3" max="3" width="17.5546875" customWidth="1"/>
    <col min="4" max="4" width="21.44140625" customWidth="1"/>
    <col min="5" max="5" width="13.44140625" customWidth="1"/>
    <col min="6" max="6" width="17.6640625" customWidth="1"/>
    <col min="7" max="7" width="14.44140625" customWidth="1"/>
    <col min="8" max="8" width="15.88671875" customWidth="1"/>
    <col min="9" max="9" width="21.109375" customWidth="1"/>
    <col min="10" max="10" width="19.6640625" customWidth="1"/>
    <col min="11" max="11" width="18.6640625" customWidth="1"/>
    <col min="13" max="13" width="24.5546875" customWidth="1"/>
    <col min="14" max="14" width="2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170</v>
      </c>
      <c r="K1" t="s">
        <v>171</v>
      </c>
      <c r="M1" t="s">
        <v>2</v>
      </c>
      <c r="N1" t="s">
        <v>172</v>
      </c>
    </row>
    <row r="2" spans="1:14" x14ac:dyDescent="0.3">
      <c r="A2" t="s">
        <v>9</v>
      </c>
      <c r="B2" t="s">
        <v>10</v>
      </c>
      <c r="C2" t="s">
        <v>14</v>
      </c>
      <c r="D2" t="s">
        <v>11</v>
      </c>
      <c r="E2">
        <v>70</v>
      </c>
      <c r="F2">
        <v>30</v>
      </c>
      <c r="G2">
        <v>55</v>
      </c>
      <c r="H2">
        <v>70</v>
      </c>
      <c r="I2">
        <v>88</v>
      </c>
      <c r="J2">
        <f>(H2-G2)*I2</f>
        <v>1320</v>
      </c>
      <c r="K2" t="str">
        <f>IF(E2&lt;F2, "Reorder Needed", "Sufficient Stock")</f>
        <v>Sufficient Stock</v>
      </c>
      <c r="M2" t="str" cm="1">
        <f t="array" ref="M2:M6">_xlfn.UNIQUE(C2:C76)</f>
        <v>Electronics</v>
      </c>
      <c r="N2">
        <f>SUMIFS(J:J, C:C, M2)</f>
        <v>45850</v>
      </c>
    </row>
    <row r="3" spans="1:14" x14ac:dyDescent="0.3">
      <c r="A3" t="s">
        <v>12</v>
      </c>
      <c r="B3" t="s">
        <v>13</v>
      </c>
      <c r="C3" t="s">
        <v>14</v>
      </c>
      <c r="D3" t="s">
        <v>11</v>
      </c>
      <c r="E3">
        <v>128</v>
      </c>
      <c r="F3">
        <v>25</v>
      </c>
      <c r="G3">
        <v>500</v>
      </c>
      <c r="H3">
        <v>650</v>
      </c>
      <c r="I3">
        <v>92</v>
      </c>
      <c r="J3">
        <f t="shared" ref="J3:J66" si="0">(H3-G3)*I3</f>
        <v>13800</v>
      </c>
      <c r="K3" t="str">
        <f t="shared" ref="K3:K66" si="1">IF(E3&lt;F3, "Reorder Needed", "Sufficient Stock")</f>
        <v>Sufficient Stock</v>
      </c>
      <c r="M3" t="str">
        <v>Groceries</v>
      </c>
      <c r="N3">
        <f t="shared" ref="N3:N27" si="2">SUMIFS(J:J, C:C, M3)</f>
        <v>79060</v>
      </c>
    </row>
    <row r="4" spans="1:14" x14ac:dyDescent="0.3">
      <c r="A4" t="s">
        <v>15</v>
      </c>
      <c r="B4" t="s">
        <v>16</v>
      </c>
      <c r="C4" t="s">
        <v>14</v>
      </c>
      <c r="D4" t="s">
        <v>11</v>
      </c>
      <c r="E4">
        <v>18</v>
      </c>
      <c r="F4">
        <v>25</v>
      </c>
      <c r="G4">
        <v>150</v>
      </c>
      <c r="H4">
        <v>190</v>
      </c>
      <c r="I4">
        <v>57</v>
      </c>
      <c r="J4">
        <f t="shared" si="0"/>
        <v>2280</v>
      </c>
      <c r="K4" t="str">
        <f t="shared" si="1"/>
        <v>Reorder Needed</v>
      </c>
      <c r="M4" t="str">
        <v>Stationery</v>
      </c>
      <c r="N4">
        <f t="shared" si="2"/>
        <v>56995</v>
      </c>
    </row>
    <row r="5" spans="1:14" x14ac:dyDescent="0.3">
      <c r="A5" t="s">
        <v>17</v>
      </c>
      <c r="B5" t="s">
        <v>18</v>
      </c>
      <c r="C5" t="s">
        <v>14</v>
      </c>
      <c r="D5" t="s">
        <v>19</v>
      </c>
      <c r="E5">
        <v>13</v>
      </c>
      <c r="F5">
        <v>40</v>
      </c>
      <c r="G5">
        <v>180</v>
      </c>
      <c r="H5">
        <v>230</v>
      </c>
      <c r="I5">
        <v>115</v>
      </c>
      <c r="J5">
        <f t="shared" si="0"/>
        <v>5750</v>
      </c>
      <c r="K5" t="str">
        <f t="shared" si="1"/>
        <v>Reorder Needed</v>
      </c>
      <c r="M5" t="str">
        <v>Home Care</v>
      </c>
      <c r="N5">
        <f t="shared" si="2"/>
        <v>71460</v>
      </c>
    </row>
    <row r="6" spans="1:14" x14ac:dyDescent="0.3">
      <c r="A6" t="s">
        <v>20</v>
      </c>
      <c r="B6" t="s">
        <v>21</v>
      </c>
      <c r="C6" t="s">
        <v>14</v>
      </c>
      <c r="D6" t="s">
        <v>22</v>
      </c>
      <c r="E6">
        <v>71</v>
      </c>
      <c r="F6">
        <v>25</v>
      </c>
      <c r="G6">
        <v>260</v>
      </c>
      <c r="H6">
        <v>330</v>
      </c>
      <c r="I6">
        <v>76</v>
      </c>
      <c r="J6">
        <f t="shared" si="0"/>
        <v>5320</v>
      </c>
      <c r="K6" t="str">
        <f t="shared" si="1"/>
        <v>Sufficient Stock</v>
      </c>
      <c r="M6" t="str">
        <v>Personal Care</v>
      </c>
      <c r="N6">
        <f t="shared" si="2"/>
        <v>48630</v>
      </c>
    </row>
    <row r="7" spans="1:14" x14ac:dyDescent="0.3">
      <c r="A7" t="s">
        <v>23</v>
      </c>
      <c r="B7" t="s">
        <v>24</v>
      </c>
      <c r="C7" t="s">
        <v>14</v>
      </c>
      <c r="D7" t="s">
        <v>22</v>
      </c>
      <c r="E7">
        <v>14</v>
      </c>
      <c r="F7">
        <v>25</v>
      </c>
      <c r="G7">
        <v>70</v>
      </c>
      <c r="H7">
        <v>80</v>
      </c>
      <c r="I7">
        <v>118</v>
      </c>
      <c r="J7">
        <f t="shared" si="0"/>
        <v>1180</v>
      </c>
      <c r="K7" t="str">
        <f t="shared" si="1"/>
        <v>Reorder Needed</v>
      </c>
    </row>
    <row r="8" spans="1:14" x14ac:dyDescent="0.3">
      <c r="A8" t="s">
        <v>25</v>
      </c>
      <c r="B8" t="s">
        <v>26</v>
      </c>
      <c r="C8" t="s">
        <v>14</v>
      </c>
      <c r="D8" t="s">
        <v>19</v>
      </c>
      <c r="E8">
        <v>16</v>
      </c>
      <c r="F8">
        <v>25</v>
      </c>
      <c r="G8">
        <v>70</v>
      </c>
      <c r="H8">
        <v>100</v>
      </c>
      <c r="I8">
        <v>20</v>
      </c>
      <c r="J8">
        <f t="shared" si="0"/>
        <v>600</v>
      </c>
      <c r="K8" t="str">
        <f t="shared" si="1"/>
        <v>Reorder Needed</v>
      </c>
    </row>
    <row r="9" spans="1:14" x14ac:dyDescent="0.3">
      <c r="A9" t="s">
        <v>27</v>
      </c>
      <c r="B9" t="s">
        <v>28</v>
      </c>
      <c r="C9" t="s">
        <v>14</v>
      </c>
      <c r="D9" t="s">
        <v>22</v>
      </c>
      <c r="E9">
        <v>131</v>
      </c>
      <c r="F9">
        <v>25</v>
      </c>
      <c r="G9">
        <v>110</v>
      </c>
      <c r="H9">
        <v>150</v>
      </c>
      <c r="I9">
        <v>45</v>
      </c>
      <c r="J9">
        <f t="shared" si="0"/>
        <v>1800</v>
      </c>
      <c r="K9" t="str">
        <f t="shared" si="1"/>
        <v>Sufficient Stock</v>
      </c>
    </row>
    <row r="10" spans="1:14" x14ac:dyDescent="0.3">
      <c r="A10" t="s">
        <v>29</v>
      </c>
      <c r="B10" t="s">
        <v>30</v>
      </c>
      <c r="C10" t="s">
        <v>14</v>
      </c>
      <c r="D10" t="s">
        <v>31</v>
      </c>
      <c r="E10">
        <v>77</v>
      </c>
      <c r="F10">
        <v>40</v>
      </c>
      <c r="G10">
        <v>110</v>
      </c>
      <c r="H10">
        <v>140</v>
      </c>
      <c r="I10">
        <v>55</v>
      </c>
      <c r="J10">
        <f t="shared" si="0"/>
        <v>1650</v>
      </c>
      <c r="K10" t="str">
        <f t="shared" si="1"/>
        <v>Sufficient Stock</v>
      </c>
    </row>
    <row r="11" spans="1:14" x14ac:dyDescent="0.3">
      <c r="A11" t="s">
        <v>32</v>
      </c>
      <c r="B11" t="s">
        <v>33</v>
      </c>
      <c r="C11" t="s">
        <v>14</v>
      </c>
      <c r="D11" t="s">
        <v>34</v>
      </c>
      <c r="E11">
        <v>8</v>
      </c>
      <c r="F11">
        <v>25</v>
      </c>
      <c r="G11">
        <v>55</v>
      </c>
      <c r="H11">
        <v>70</v>
      </c>
      <c r="I11">
        <v>116</v>
      </c>
      <c r="J11">
        <f t="shared" si="0"/>
        <v>1740</v>
      </c>
      <c r="K11" t="str">
        <f t="shared" si="1"/>
        <v>Reorder Needed</v>
      </c>
    </row>
    <row r="12" spans="1:14" x14ac:dyDescent="0.3">
      <c r="A12" t="s">
        <v>35</v>
      </c>
      <c r="B12" t="s">
        <v>36</v>
      </c>
      <c r="C12" t="s">
        <v>14</v>
      </c>
      <c r="D12" t="s">
        <v>22</v>
      </c>
      <c r="E12">
        <v>31</v>
      </c>
      <c r="F12">
        <v>15</v>
      </c>
      <c r="G12">
        <v>300</v>
      </c>
      <c r="H12">
        <v>410</v>
      </c>
      <c r="I12">
        <v>24</v>
      </c>
      <c r="J12">
        <f t="shared" si="0"/>
        <v>2640</v>
      </c>
      <c r="K12" t="str">
        <f t="shared" si="1"/>
        <v>Sufficient Stock</v>
      </c>
    </row>
    <row r="13" spans="1:14" x14ac:dyDescent="0.3">
      <c r="A13" t="s">
        <v>37</v>
      </c>
      <c r="B13" t="s">
        <v>38</v>
      </c>
      <c r="C13" t="s">
        <v>14</v>
      </c>
      <c r="D13" t="s">
        <v>31</v>
      </c>
      <c r="E13">
        <v>0</v>
      </c>
      <c r="F13">
        <v>15</v>
      </c>
      <c r="G13">
        <v>40</v>
      </c>
      <c r="H13">
        <v>60</v>
      </c>
      <c r="I13">
        <v>57</v>
      </c>
      <c r="J13">
        <f t="shared" si="0"/>
        <v>1140</v>
      </c>
      <c r="K13" t="str">
        <f t="shared" si="1"/>
        <v>Reorder Needed</v>
      </c>
    </row>
    <row r="14" spans="1:14" x14ac:dyDescent="0.3">
      <c r="A14" t="s">
        <v>39</v>
      </c>
      <c r="B14" t="s">
        <v>40</v>
      </c>
      <c r="C14" t="s">
        <v>14</v>
      </c>
      <c r="D14" t="s">
        <v>19</v>
      </c>
      <c r="E14">
        <v>49</v>
      </c>
      <c r="F14">
        <v>30</v>
      </c>
      <c r="G14">
        <v>110</v>
      </c>
      <c r="H14">
        <v>130</v>
      </c>
      <c r="I14">
        <v>63</v>
      </c>
      <c r="J14">
        <f t="shared" si="0"/>
        <v>1260</v>
      </c>
      <c r="K14" t="str">
        <f t="shared" si="1"/>
        <v>Sufficient Stock</v>
      </c>
    </row>
    <row r="15" spans="1:14" x14ac:dyDescent="0.3">
      <c r="A15" t="s">
        <v>41</v>
      </c>
      <c r="B15" t="s">
        <v>42</v>
      </c>
      <c r="C15" t="s">
        <v>14</v>
      </c>
      <c r="D15" t="s">
        <v>11</v>
      </c>
      <c r="E15">
        <v>150</v>
      </c>
      <c r="F15">
        <v>40</v>
      </c>
      <c r="G15">
        <v>150</v>
      </c>
      <c r="H15">
        <v>210</v>
      </c>
      <c r="I15">
        <v>63</v>
      </c>
      <c r="J15">
        <f t="shared" si="0"/>
        <v>3780</v>
      </c>
      <c r="K15" t="str">
        <f t="shared" si="1"/>
        <v>Sufficient Stock</v>
      </c>
    </row>
    <row r="16" spans="1:14" x14ac:dyDescent="0.3">
      <c r="A16" t="s">
        <v>43</v>
      </c>
      <c r="B16" t="s">
        <v>44</v>
      </c>
      <c r="C16" t="s">
        <v>14</v>
      </c>
      <c r="D16" t="s">
        <v>19</v>
      </c>
      <c r="E16">
        <v>123</v>
      </c>
      <c r="F16">
        <v>30</v>
      </c>
      <c r="G16">
        <v>150</v>
      </c>
      <c r="H16">
        <v>180</v>
      </c>
      <c r="I16">
        <v>53</v>
      </c>
      <c r="J16">
        <f t="shared" si="0"/>
        <v>1590</v>
      </c>
      <c r="K16" t="str">
        <f t="shared" si="1"/>
        <v>Sufficient Stock</v>
      </c>
    </row>
    <row r="17" spans="1:11" x14ac:dyDescent="0.3">
      <c r="A17" t="s">
        <v>45</v>
      </c>
      <c r="B17" t="s">
        <v>46</v>
      </c>
      <c r="C17" t="s">
        <v>47</v>
      </c>
      <c r="D17" t="s">
        <v>19</v>
      </c>
      <c r="E17">
        <v>62</v>
      </c>
      <c r="F17">
        <v>15</v>
      </c>
      <c r="G17">
        <v>40</v>
      </c>
      <c r="H17">
        <v>50</v>
      </c>
      <c r="I17">
        <v>74</v>
      </c>
      <c r="J17">
        <f t="shared" si="0"/>
        <v>740</v>
      </c>
      <c r="K17" t="str">
        <f t="shared" si="1"/>
        <v>Sufficient Stock</v>
      </c>
    </row>
    <row r="18" spans="1:11" x14ac:dyDescent="0.3">
      <c r="A18" t="s">
        <v>48</v>
      </c>
      <c r="B18" t="s">
        <v>49</v>
      </c>
      <c r="C18" t="s">
        <v>47</v>
      </c>
      <c r="D18" t="s">
        <v>22</v>
      </c>
      <c r="E18">
        <v>41</v>
      </c>
      <c r="F18">
        <v>30</v>
      </c>
      <c r="G18">
        <v>150</v>
      </c>
      <c r="H18">
        <v>210</v>
      </c>
      <c r="I18">
        <v>98</v>
      </c>
      <c r="J18">
        <f t="shared" si="0"/>
        <v>5880</v>
      </c>
      <c r="K18" t="str">
        <f t="shared" si="1"/>
        <v>Sufficient Stock</v>
      </c>
    </row>
    <row r="19" spans="1:11" x14ac:dyDescent="0.3">
      <c r="A19" t="s">
        <v>50</v>
      </c>
      <c r="B19" t="s">
        <v>168</v>
      </c>
      <c r="C19" t="s">
        <v>47</v>
      </c>
      <c r="D19" t="s">
        <v>11</v>
      </c>
      <c r="E19">
        <v>22</v>
      </c>
      <c r="F19">
        <v>40</v>
      </c>
      <c r="G19">
        <v>150</v>
      </c>
      <c r="H19">
        <v>170</v>
      </c>
      <c r="I19">
        <v>98</v>
      </c>
      <c r="J19">
        <f t="shared" si="0"/>
        <v>1960</v>
      </c>
      <c r="K19" t="str">
        <f t="shared" si="1"/>
        <v>Reorder Needed</v>
      </c>
    </row>
    <row r="20" spans="1:11" x14ac:dyDescent="0.3">
      <c r="A20" t="s">
        <v>51</v>
      </c>
      <c r="B20" t="s">
        <v>52</v>
      </c>
      <c r="C20" t="s">
        <v>47</v>
      </c>
      <c r="D20" t="s">
        <v>19</v>
      </c>
      <c r="E20">
        <v>129</v>
      </c>
      <c r="F20">
        <v>30</v>
      </c>
      <c r="G20">
        <v>150</v>
      </c>
      <c r="H20">
        <v>190</v>
      </c>
      <c r="I20">
        <v>38</v>
      </c>
      <c r="J20">
        <f t="shared" si="0"/>
        <v>1520</v>
      </c>
      <c r="K20" t="str">
        <f t="shared" si="1"/>
        <v>Sufficient Stock</v>
      </c>
    </row>
    <row r="21" spans="1:11" x14ac:dyDescent="0.3">
      <c r="A21" t="s">
        <v>53</v>
      </c>
      <c r="B21" t="s">
        <v>54</v>
      </c>
      <c r="C21" t="s">
        <v>47</v>
      </c>
      <c r="D21" t="s">
        <v>34</v>
      </c>
      <c r="E21">
        <v>123</v>
      </c>
      <c r="F21">
        <v>30</v>
      </c>
      <c r="G21">
        <v>500</v>
      </c>
      <c r="H21">
        <v>670</v>
      </c>
      <c r="I21">
        <v>7</v>
      </c>
      <c r="J21">
        <f t="shared" si="0"/>
        <v>1190</v>
      </c>
      <c r="K21" t="str">
        <f t="shared" si="1"/>
        <v>Sufficient Stock</v>
      </c>
    </row>
    <row r="22" spans="1:11" x14ac:dyDescent="0.3">
      <c r="A22" t="s">
        <v>55</v>
      </c>
      <c r="B22" t="s">
        <v>56</v>
      </c>
      <c r="C22" t="s">
        <v>47</v>
      </c>
      <c r="D22" t="s">
        <v>34</v>
      </c>
      <c r="E22">
        <v>83</v>
      </c>
      <c r="F22">
        <v>20</v>
      </c>
      <c r="G22">
        <v>110</v>
      </c>
      <c r="H22">
        <v>150</v>
      </c>
      <c r="I22">
        <v>18</v>
      </c>
      <c r="J22">
        <f t="shared" si="0"/>
        <v>720</v>
      </c>
      <c r="K22" t="str">
        <f t="shared" si="1"/>
        <v>Sufficient Stock</v>
      </c>
    </row>
    <row r="23" spans="1:11" x14ac:dyDescent="0.3">
      <c r="A23" t="s">
        <v>57</v>
      </c>
      <c r="B23" t="s">
        <v>58</v>
      </c>
      <c r="C23" t="s">
        <v>47</v>
      </c>
      <c r="D23" t="s">
        <v>59</v>
      </c>
      <c r="E23">
        <v>73</v>
      </c>
      <c r="F23">
        <v>40</v>
      </c>
      <c r="G23">
        <v>500</v>
      </c>
      <c r="H23">
        <v>680</v>
      </c>
      <c r="I23">
        <v>27</v>
      </c>
      <c r="J23">
        <f t="shared" si="0"/>
        <v>4860</v>
      </c>
      <c r="K23" t="str">
        <f t="shared" si="1"/>
        <v>Sufficient Stock</v>
      </c>
    </row>
    <row r="24" spans="1:11" x14ac:dyDescent="0.3">
      <c r="A24" t="s">
        <v>60</v>
      </c>
      <c r="B24" t="s">
        <v>61</v>
      </c>
      <c r="C24" t="s">
        <v>47</v>
      </c>
      <c r="D24" t="s">
        <v>22</v>
      </c>
      <c r="E24">
        <v>111</v>
      </c>
      <c r="F24">
        <v>25</v>
      </c>
      <c r="G24">
        <v>110</v>
      </c>
      <c r="H24">
        <v>150</v>
      </c>
      <c r="I24">
        <v>87</v>
      </c>
      <c r="J24">
        <f t="shared" si="0"/>
        <v>3480</v>
      </c>
      <c r="K24" t="str">
        <f t="shared" si="1"/>
        <v>Sufficient Stock</v>
      </c>
    </row>
    <row r="25" spans="1:11" x14ac:dyDescent="0.3">
      <c r="A25" t="s">
        <v>62</v>
      </c>
      <c r="B25" t="s">
        <v>63</v>
      </c>
      <c r="C25" t="s">
        <v>47</v>
      </c>
      <c r="D25" t="s">
        <v>19</v>
      </c>
      <c r="E25">
        <v>130</v>
      </c>
      <c r="F25">
        <v>15</v>
      </c>
      <c r="G25">
        <v>350</v>
      </c>
      <c r="H25">
        <v>490</v>
      </c>
      <c r="I25">
        <v>113</v>
      </c>
      <c r="J25">
        <f t="shared" si="0"/>
        <v>15820</v>
      </c>
      <c r="K25" t="str">
        <f t="shared" si="1"/>
        <v>Sufficient Stock</v>
      </c>
    </row>
    <row r="26" spans="1:11" x14ac:dyDescent="0.3">
      <c r="A26" t="s">
        <v>64</v>
      </c>
      <c r="B26" t="s">
        <v>65</v>
      </c>
      <c r="C26" t="s">
        <v>47</v>
      </c>
      <c r="D26" t="s">
        <v>22</v>
      </c>
      <c r="E26">
        <v>3</v>
      </c>
      <c r="F26">
        <v>20</v>
      </c>
      <c r="G26">
        <v>260</v>
      </c>
      <c r="H26">
        <v>370</v>
      </c>
      <c r="I26">
        <v>66</v>
      </c>
      <c r="J26">
        <f t="shared" si="0"/>
        <v>7260</v>
      </c>
      <c r="K26" t="str">
        <f t="shared" si="1"/>
        <v>Reorder Needed</v>
      </c>
    </row>
    <row r="27" spans="1:11" x14ac:dyDescent="0.3">
      <c r="A27" t="s">
        <v>66</v>
      </c>
      <c r="B27" t="s">
        <v>67</v>
      </c>
      <c r="C27" t="s">
        <v>47</v>
      </c>
      <c r="D27" t="s">
        <v>31</v>
      </c>
      <c r="E27">
        <v>149</v>
      </c>
      <c r="F27">
        <v>15</v>
      </c>
      <c r="G27">
        <v>350</v>
      </c>
      <c r="H27">
        <v>430</v>
      </c>
      <c r="I27">
        <v>78</v>
      </c>
      <c r="J27">
        <f t="shared" si="0"/>
        <v>6240</v>
      </c>
      <c r="K27" t="str">
        <f t="shared" si="1"/>
        <v>Sufficient Stock</v>
      </c>
    </row>
    <row r="28" spans="1:11" x14ac:dyDescent="0.3">
      <c r="A28" t="s">
        <v>68</v>
      </c>
      <c r="B28" t="s">
        <v>69</v>
      </c>
      <c r="C28" t="s">
        <v>47</v>
      </c>
      <c r="D28" t="s">
        <v>31</v>
      </c>
      <c r="E28">
        <v>50</v>
      </c>
      <c r="F28">
        <v>40</v>
      </c>
      <c r="G28">
        <v>70</v>
      </c>
      <c r="H28">
        <v>100</v>
      </c>
      <c r="I28">
        <v>14</v>
      </c>
      <c r="J28">
        <f t="shared" si="0"/>
        <v>420</v>
      </c>
      <c r="K28" t="str">
        <f t="shared" si="1"/>
        <v>Sufficient Stock</v>
      </c>
    </row>
    <row r="29" spans="1:11" x14ac:dyDescent="0.3">
      <c r="A29" t="s">
        <v>70</v>
      </c>
      <c r="B29" t="s">
        <v>71</v>
      </c>
      <c r="C29" t="s">
        <v>47</v>
      </c>
      <c r="D29" t="s">
        <v>31</v>
      </c>
      <c r="E29">
        <v>2</v>
      </c>
      <c r="F29">
        <v>40</v>
      </c>
      <c r="G29">
        <v>500</v>
      </c>
      <c r="H29">
        <v>680</v>
      </c>
      <c r="I29">
        <v>60</v>
      </c>
      <c r="J29">
        <f t="shared" si="0"/>
        <v>10800</v>
      </c>
      <c r="K29" t="str">
        <f t="shared" si="1"/>
        <v>Reorder Needed</v>
      </c>
    </row>
    <row r="30" spans="1:11" x14ac:dyDescent="0.3">
      <c r="A30" t="s">
        <v>72</v>
      </c>
      <c r="B30" t="s">
        <v>73</v>
      </c>
      <c r="C30" t="s">
        <v>47</v>
      </c>
      <c r="D30" t="s">
        <v>11</v>
      </c>
      <c r="E30">
        <v>39</v>
      </c>
      <c r="F30">
        <v>30</v>
      </c>
      <c r="G30">
        <v>260</v>
      </c>
      <c r="H30">
        <v>330</v>
      </c>
      <c r="I30">
        <v>7</v>
      </c>
      <c r="J30">
        <f t="shared" si="0"/>
        <v>490</v>
      </c>
      <c r="K30" t="str">
        <f t="shared" si="1"/>
        <v>Sufficient Stock</v>
      </c>
    </row>
    <row r="31" spans="1:11" x14ac:dyDescent="0.3">
      <c r="A31" t="s">
        <v>74</v>
      </c>
      <c r="B31" t="s">
        <v>75</v>
      </c>
      <c r="C31" t="s">
        <v>47</v>
      </c>
      <c r="D31" t="s">
        <v>31</v>
      </c>
      <c r="E31">
        <v>116</v>
      </c>
      <c r="F31">
        <v>15</v>
      </c>
      <c r="G31">
        <v>420</v>
      </c>
      <c r="H31">
        <v>590</v>
      </c>
      <c r="I31">
        <v>104</v>
      </c>
      <c r="J31">
        <f t="shared" si="0"/>
        <v>17680</v>
      </c>
      <c r="K31" t="str">
        <f t="shared" si="1"/>
        <v>Sufficient Stock</v>
      </c>
    </row>
    <row r="32" spans="1:11" x14ac:dyDescent="0.3">
      <c r="A32" t="s">
        <v>76</v>
      </c>
      <c r="B32" t="s">
        <v>77</v>
      </c>
      <c r="C32" t="s">
        <v>78</v>
      </c>
      <c r="D32" t="s">
        <v>31</v>
      </c>
      <c r="E32">
        <v>142</v>
      </c>
      <c r="F32">
        <v>20</v>
      </c>
      <c r="G32">
        <v>220</v>
      </c>
      <c r="H32">
        <v>300</v>
      </c>
      <c r="I32">
        <v>91</v>
      </c>
      <c r="J32">
        <f t="shared" si="0"/>
        <v>7280</v>
      </c>
      <c r="K32" t="str">
        <f t="shared" si="1"/>
        <v>Sufficient Stock</v>
      </c>
    </row>
    <row r="33" spans="1:11" x14ac:dyDescent="0.3">
      <c r="A33" t="s">
        <v>79</v>
      </c>
      <c r="B33" t="s">
        <v>80</v>
      </c>
      <c r="C33" t="s">
        <v>78</v>
      </c>
      <c r="D33" t="s">
        <v>31</v>
      </c>
      <c r="E33">
        <v>127</v>
      </c>
      <c r="F33">
        <v>25</v>
      </c>
      <c r="G33">
        <v>110</v>
      </c>
      <c r="H33">
        <v>140</v>
      </c>
      <c r="I33">
        <v>8</v>
      </c>
      <c r="J33">
        <f t="shared" si="0"/>
        <v>240</v>
      </c>
      <c r="K33" t="str">
        <f t="shared" si="1"/>
        <v>Sufficient Stock</v>
      </c>
    </row>
    <row r="34" spans="1:11" x14ac:dyDescent="0.3">
      <c r="A34" t="s">
        <v>81</v>
      </c>
      <c r="B34" t="s">
        <v>82</v>
      </c>
      <c r="C34" t="s">
        <v>78</v>
      </c>
      <c r="D34" t="s">
        <v>22</v>
      </c>
      <c r="E34">
        <v>1</v>
      </c>
      <c r="F34">
        <v>30</v>
      </c>
      <c r="G34">
        <v>420</v>
      </c>
      <c r="H34">
        <v>600</v>
      </c>
      <c r="I34">
        <v>115</v>
      </c>
      <c r="J34">
        <f t="shared" si="0"/>
        <v>20700</v>
      </c>
      <c r="K34" t="str">
        <f t="shared" si="1"/>
        <v>Reorder Needed</v>
      </c>
    </row>
    <row r="35" spans="1:11" x14ac:dyDescent="0.3">
      <c r="A35" t="s">
        <v>83</v>
      </c>
      <c r="B35" t="s">
        <v>84</v>
      </c>
      <c r="C35" t="s">
        <v>78</v>
      </c>
      <c r="D35" t="s">
        <v>19</v>
      </c>
      <c r="E35">
        <v>134</v>
      </c>
      <c r="F35">
        <v>20</v>
      </c>
      <c r="G35">
        <v>220</v>
      </c>
      <c r="H35">
        <v>270</v>
      </c>
      <c r="I35">
        <v>97</v>
      </c>
      <c r="J35">
        <f t="shared" si="0"/>
        <v>4850</v>
      </c>
      <c r="K35" t="str">
        <f t="shared" si="1"/>
        <v>Sufficient Stock</v>
      </c>
    </row>
    <row r="36" spans="1:11" x14ac:dyDescent="0.3">
      <c r="A36" t="s">
        <v>85</v>
      </c>
      <c r="B36" t="s">
        <v>86</v>
      </c>
      <c r="C36" t="s">
        <v>78</v>
      </c>
      <c r="D36" t="s">
        <v>19</v>
      </c>
      <c r="E36">
        <v>126</v>
      </c>
      <c r="F36">
        <v>30</v>
      </c>
      <c r="G36">
        <v>40</v>
      </c>
      <c r="H36">
        <v>50</v>
      </c>
      <c r="I36">
        <v>39</v>
      </c>
      <c r="J36">
        <f t="shared" si="0"/>
        <v>390</v>
      </c>
      <c r="K36" t="str">
        <f t="shared" si="1"/>
        <v>Sufficient Stock</v>
      </c>
    </row>
    <row r="37" spans="1:11" x14ac:dyDescent="0.3">
      <c r="A37" t="s">
        <v>87</v>
      </c>
      <c r="B37" t="s">
        <v>88</v>
      </c>
      <c r="C37" t="s">
        <v>78</v>
      </c>
      <c r="D37" t="s">
        <v>59</v>
      </c>
      <c r="E37">
        <v>51</v>
      </c>
      <c r="F37">
        <v>20</v>
      </c>
      <c r="G37">
        <v>420</v>
      </c>
      <c r="H37">
        <v>490</v>
      </c>
      <c r="I37">
        <v>38</v>
      </c>
      <c r="J37">
        <f t="shared" si="0"/>
        <v>2660</v>
      </c>
      <c r="K37" t="str">
        <f t="shared" si="1"/>
        <v>Sufficient Stock</v>
      </c>
    </row>
    <row r="38" spans="1:11" x14ac:dyDescent="0.3">
      <c r="A38" t="s">
        <v>89</v>
      </c>
      <c r="B38" t="s">
        <v>90</v>
      </c>
      <c r="C38" t="s">
        <v>78</v>
      </c>
      <c r="D38" t="s">
        <v>31</v>
      </c>
      <c r="E38">
        <v>33</v>
      </c>
      <c r="F38">
        <v>20</v>
      </c>
      <c r="G38">
        <v>55</v>
      </c>
      <c r="H38">
        <v>70</v>
      </c>
      <c r="I38">
        <v>107</v>
      </c>
      <c r="J38">
        <f t="shared" si="0"/>
        <v>1605</v>
      </c>
      <c r="K38" t="str">
        <f t="shared" si="1"/>
        <v>Sufficient Stock</v>
      </c>
    </row>
    <row r="39" spans="1:11" x14ac:dyDescent="0.3">
      <c r="A39" t="s">
        <v>91</v>
      </c>
      <c r="B39" t="s">
        <v>92</v>
      </c>
      <c r="C39" t="s">
        <v>78</v>
      </c>
      <c r="D39" t="s">
        <v>34</v>
      </c>
      <c r="E39">
        <v>82</v>
      </c>
      <c r="F39">
        <v>20</v>
      </c>
      <c r="G39">
        <v>180</v>
      </c>
      <c r="H39">
        <v>230</v>
      </c>
      <c r="I39">
        <v>5</v>
      </c>
      <c r="J39">
        <f t="shared" si="0"/>
        <v>250</v>
      </c>
      <c r="K39" t="str">
        <f t="shared" si="1"/>
        <v>Sufficient Stock</v>
      </c>
    </row>
    <row r="40" spans="1:11" x14ac:dyDescent="0.3">
      <c r="A40" t="s">
        <v>93</v>
      </c>
      <c r="B40" t="s">
        <v>94</v>
      </c>
      <c r="C40" t="s">
        <v>78</v>
      </c>
      <c r="D40" t="s">
        <v>31</v>
      </c>
      <c r="E40">
        <v>86</v>
      </c>
      <c r="F40">
        <v>20</v>
      </c>
      <c r="G40">
        <v>25</v>
      </c>
      <c r="H40">
        <v>30</v>
      </c>
      <c r="I40">
        <v>51</v>
      </c>
      <c r="J40">
        <f t="shared" si="0"/>
        <v>255</v>
      </c>
      <c r="K40" t="str">
        <f t="shared" si="1"/>
        <v>Sufficient Stock</v>
      </c>
    </row>
    <row r="41" spans="1:11" x14ac:dyDescent="0.3">
      <c r="A41" t="s">
        <v>95</v>
      </c>
      <c r="B41" t="s">
        <v>96</v>
      </c>
      <c r="C41" t="s">
        <v>78</v>
      </c>
      <c r="D41" t="s">
        <v>22</v>
      </c>
      <c r="E41">
        <v>2</v>
      </c>
      <c r="F41">
        <v>30</v>
      </c>
      <c r="G41">
        <v>90</v>
      </c>
      <c r="H41">
        <v>110</v>
      </c>
      <c r="I41">
        <v>62</v>
      </c>
      <c r="J41">
        <f t="shared" si="0"/>
        <v>1240</v>
      </c>
      <c r="K41" t="str">
        <f t="shared" si="1"/>
        <v>Reorder Needed</v>
      </c>
    </row>
    <row r="42" spans="1:11" x14ac:dyDescent="0.3">
      <c r="A42" t="s">
        <v>97</v>
      </c>
      <c r="B42" t="s">
        <v>98</v>
      </c>
      <c r="C42" t="s">
        <v>78</v>
      </c>
      <c r="D42" t="s">
        <v>11</v>
      </c>
      <c r="E42">
        <v>68</v>
      </c>
      <c r="F42">
        <v>20</v>
      </c>
      <c r="G42">
        <v>130</v>
      </c>
      <c r="H42">
        <v>170</v>
      </c>
      <c r="I42">
        <v>102</v>
      </c>
      <c r="J42">
        <f t="shared" si="0"/>
        <v>4080</v>
      </c>
      <c r="K42" t="str">
        <f t="shared" si="1"/>
        <v>Sufficient Stock</v>
      </c>
    </row>
    <row r="43" spans="1:11" x14ac:dyDescent="0.3">
      <c r="A43" t="s">
        <v>99</v>
      </c>
      <c r="B43" t="s">
        <v>100</v>
      </c>
      <c r="C43" t="s">
        <v>78</v>
      </c>
      <c r="D43" t="s">
        <v>31</v>
      </c>
      <c r="E43">
        <v>6</v>
      </c>
      <c r="F43">
        <v>25</v>
      </c>
      <c r="G43">
        <v>90</v>
      </c>
      <c r="H43">
        <v>110</v>
      </c>
      <c r="I43">
        <v>15</v>
      </c>
      <c r="J43">
        <f t="shared" si="0"/>
        <v>300</v>
      </c>
      <c r="K43" t="str">
        <f t="shared" si="1"/>
        <v>Reorder Needed</v>
      </c>
    </row>
    <row r="44" spans="1:11" x14ac:dyDescent="0.3">
      <c r="A44" t="s">
        <v>101</v>
      </c>
      <c r="B44" t="s">
        <v>102</v>
      </c>
      <c r="C44" t="s">
        <v>78</v>
      </c>
      <c r="D44" t="s">
        <v>31</v>
      </c>
      <c r="E44">
        <v>98</v>
      </c>
      <c r="F44">
        <v>25</v>
      </c>
      <c r="G44">
        <v>420</v>
      </c>
      <c r="H44">
        <v>610</v>
      </c>
      <c r="I44">
        <v>35</v>
      </c>
      <c r="J44">
        <f t="shared" si="0"/>
        <v>6650</v>
      </c>
      <c r="K44" t="str">
        <f t="shared" si="1"/>
        <v>Sufficient Stock</v>
      </c>
    </row>
    <row r="45" spans="1:11" x14ac:dyDescent="0.3">
      <c r="A45" t="s">
        <v>103</v>
      </c>
      <c r="B45" t="s">
        <v>104</v>
      </c>
      <c r="C45" t="s">
        <v>78</v>
      </c>
      <c r="D45" t="s">
        <v>34</v>
      </c>
      <c r="E45">
        <v>33</v>
      </c>
      <c r="F45">
        <v>40</v>
      </c>
      <c r="G45">
        <v>25</v>
      </c>
      <c r="H45">
        <v>40</v>
      </c>
      <c r="I45">
        <v>25</v>
      </c>
      <c r="J45">
        <f t="shared" si="0"/>
        <v>375</v>
      </c>
      <c r="K45" t="str">
        <f t="shared" si="1"/>
        <v>Reorder Needed</v>
      </c>
    </row>
    <row r="46" spans="1:11" x14ac:dyDescent="0.3">
      <c r="A46" t="s">
        <v>105</v>
      </c>
      <c r="B46" t="s">
        <v>106</v>
      </c>
      <c r="C46" t="s">
        <v>78</v>
      </c>
      <c r="D46" t="s">
        <v>34</v>
      </c>
      <c r="E46">
        <v>19</v>
      </c>
      <c r="F46">
        <v>40</v>
      </c>
      <c r="G46">
        <v>220</v>
      </c>
      <c r="H46">
        <v>310</v>
      </c>
      <c r="I46">
        <v>68</v>
      </c>
      <c r="J46">
        <f t="shared" si="0"/>
        <v>6120</v>
      </c>
      <c r="K46" t="str">
        <f t="shared" si="1"/>
        <v>Reorder Needed</v>
      </c>
    </row>
    <row r="47" spans="1:11" x14ac:dyDescent="0.3">
      <c r="A47" t="s">
        <v>107</v>
      </c>
      <c r="B47" t="s">
        <v>108</v>
      </c>
      <c r="C47" t="s">
        <v>109</v>
      </c>
      <c r="D47" t="s">
        <v>59</v>
      </c>
      <c r="E47">
        <v>110</v>
      </c>
      <c r="F47">
        <v>25</v>
      </c>
      <c r="G47">
        <v>350</v>
      </c>
      <c r="H47">
        <v>420</v>
      </c>
      <c r="I47">
        <v>41</v>
      </c>
      <c r="J47">
        <f t="shared" si="0"/>
        <v>2870</v>
      </c>
      <c r="K47" t="str">
        <f t="shared" si="1"/>
        <v>Sufficient Stock</v>
      </c>
    </row>
    <row r="48" spans="1:11" x14ac:dyDescent="0.3">
      <c r="A48" t="s">
        <v>110</v>
      </c>
      <c r="B48" t="s">
        <v>111</v>
      </c>
      <c r="C48" t="s">
        <v>109</v>
      </c>
      <c r="D48" t="s">
        <v>22</v>
      </c>
      <c r="E48">
        <v>111</v>
      </c>
      <c r="F48">
        <v>20</v>
      </c>
      <c r="G48">
        <v>130</v>
      </c>
      <c r="H48">
        <v>180</v>
      </c>
      <c r="I48">
        <v>80</v>
      </c>
      <c r="J48">
        <f t="shared" si="0"/>
        <v>4000</v>
      </c>
      <c r="K48" t="str">
        <f t="shared" si="1"/>
        <v>Sufficient Stock</v>
      </c>
    </row>
    <row r="49" spans="1:11" x14ac:dyDescent="0.3">
      <c r="A49" t="s">
        <v>112</v>
      </c>
      <c r="B49" t="s">
        <v>169</v>
      </c>
      <c r="C49" t="s">
        <v>109</v>
      </c>
      <c r="D49" t="s">
        <v>22</v>
      </c>
      <c r="E49">
        <v>116</v>
      </c>
      <c r="F49">
        <v>30</v>
      </c>
      <c r="G49">
        <v>300</v>
      </c>
      <c r="H49">
        <v>430</v>
      </c>
      <c r="I49">
        <v>86</v>
      </c>
      <c r="J49">
        <f t="shared" si="0"/>
        <v>11180</v>
      </c>
      <c r="K49" t="str">
        <f t="shared" si="1"/>
        <v>Sufficient Stock</v>
      </c>
    </row>
    <row r="50" spans="1:11" x14ac:dyDescent="0.3">
      <c r="A50" t="s">
        <v>113</v>
      </c>
      <c r="B50" t="s">
        <v>114</v>
      </c>
      <c r="C50" t="s">
        <v>109</v>
      </c>
      <c r="D50" t="s">
        <v>34</v>
      </c>
      <c r="E50">
        <v>112</v>
      </c>
      <c r="F50">
        <v>20</v>
      </c>
      <c r="G50">
        <v>40</v>
      </c>
      <c r="H50">
        <v>50</v>
      </c>
      <c r="I50">
        <v>40</v>
      </c>
      <c r="J50">
        <f t="shared" si="0"/>
        <v>400</v>
      </c>
      <c r="K50" t="str">
        <f t="shared" si="1"/>
        <v>Sufficient Stock</v>
      </c>
    </row>
    <row r="51" spans="1:11" x14ac:dyDescent="0.3">
      <c r="A51" t="s">
        <v>115</v>
      </c>
      <c r="B51" t="s">
        <v>116</v>
      </c>
      <c r="C51" t="s">
        <v>109</v>
      </c>
      <c r="D51" t="s">
        <v>59</v>
      </c>
      <c r="E51">
        <v>41</v>
      </c>
      <c r="F51">
        <v>20</v>
      </c>
      <c r="G51">
        <v>420</v>
      </c>
      <c r="H51">
        <v>490</v>
      </c>
      <c r="I51">
        <v>54</v>
      </c>
      <c r="J51">
        <f t="shared" si="0"/>
        <v>3780</v>
      </c>
      <c r="K51" t="str">
        <f t="shared" si="1"/>
        <v>Sufficient Stock</v>
      </c>
    </row>
    <row r="52" spans="1:11" x14ac:dyDescent="0.3">
      <c r="A52" t="s">
        <v>117</v>
      </c>
      <c r="B52" t="s">
        <v>118</v>
      </c>
      <c r="C52" t="s">
        <v>109</v>
      </c>
      <c r="D52" t="s">
        <v>19</v>
      </c>
      <c r="E52">
        <v>108</v>
      </c>
      <c r="F52">
        <v>20</v>
      </c>
      <c r="G52">
        <v>150</v>
      </c>
      <c r="H52">
        <v>210</v>
      </c>
      <c r="I52">
        <v>102</v>
      </c>
      <c r="J52">
        <f t="shared" si="0"/>
        <v>6120</v>
      </c>
      <c r="K52" t="str">
        <f t="shared" si="1"/>
        <v>Sufficient Stock</v>
      </c>
    </row>
    <row r="53" spans="1:11" x14ac:dyDescent="0.3">
      <c r="A53" t="s">
        <v>119</v>
      </c>
      <c r="B53" t="s">
        <v>120</v>
      </c>
      <c r="C53" t="s">
        <v>109</v>
      </c>
      <c r="D53" t="s">
        <v>59</v>
      </c>
      <c r="E53">
        <v>133</v>
      </c>
      <c r="F53">
        <v>30</v>
      </c>
      <c r="G53">
        <v>40</v>
      </c>
      <c r="H53">
        <v>60</v>
      </c>
      <c r="I53">
        <v>120</v>
      </c>
      <c r="J53">
        <f t="shared" si="0"/>
        <v>2400</v>
      </c>
      <c r="K53" t="str">
        <f t="shared" si="1"/>
        <v>Sufficient Stock</v>
      </c>
    </row>
    <row r="54" spans="1:11" x14ac:dyDescent="0.3">
      <c r="A54" t="s">
        <v>121</v>
      </c>
      <c r="B54" t="s">
        <v>122</v>
      </c>
      <c r="C54" t="s">
        <v>109</v>
      </c>
      <c r="D54" t="s">
        <v>59</v>
      </c>
      <c r="E54">
        <v>128</v>
      </c>
      <c r="F54">
        <v>15</v>
      </c>
      <c r="G54">
        <v>500</v>
      </c>
      <c r="H54">
        <v>710</v>
      </c>
      <c r="I54">
        <v>106</v>
      </c>
      <c r="J54">
        <f t="shared" si="0"/>
        <v>22260</v>
      </c>
      <c r="K54" t="str">
        <f t="shared" si="1"/>
        <v>Sufficient Stock</v>
      </c>
    </row>
    <row r="55" spans="1:11" x14ac:dyDescent="0.3">
      <c r="A55" t="s">
        <v>123</v>
      </c>
      <c r="B55" t="s">
        <v>124</v>
      </c>
      <c r="C55" t="s">
        <v>109</v>
      </c>
      <c r="D55" t="s">
        <v>34</v>
      </c>
      <c r="E55">
        <v>135</v>
      </c>
      <c r="F55">
        <v>30</v>
      </c>
      <c r="G55">
        <v>40</v>
      </c>
      <c r="H55">
        <v>60</v>
      </c>
      <c r="I55">
        <v>53</v>
      </c>
      <c r="J55">
        <f t="shared" si="0"/>
        <v>1060</v>
      </c>
      <c r="K55" t="str">
        <f t="shared" si="1"/>
        <v>Sufficient Stock</v>
      </c>
    </row>
    <row r="56" spans="1:11" x14ac:dyDescent="0.3">
      <c r="A56" t="s">
        <v>125</v>
      </c>
      <c r="B56" t="s">
        <v>126</v>
      </c>
      <c r="C56" t="s">
        <v>109</v>
      </c>
      <c r="D56" t="s">
        <v>31</v>
      </c>
      <c r="E56">
        <v>113</v>
      </c>
      <c r="F56">
        <v>30</v>
      </c>
      <c r="G56">
        <v>220</v>
      </c>
      <c r="H56">
        <v>260</v>
      </c>
      <c r="I56">
        <v>32</v>
      </c>
      <c r="J56">
        <f t="shared" si="0"/>
        <v>1280</v>
      </c>
      <c r="K56" t="str">
        <f t="shared" si="1"/>
        <v>Sufficient Stock</v>
      </c>
    </row>
    <row r="57" spans="1:11" x14ac:dyDescent="0.3">
      <c r="A57" t="s">
        <v>127</v>
      </c>
      <c r="B57" t="s">
        <v>128</v>
      </c>
      <c r="C57" t="s">
        <v>109</v>
      </c>
      <c r="D57" t="s">
        <v>11</v>
      </c>
      <c r="E57">
        <v>138</v>
      </c>
      <c r="F57">
        <v>40</v>
      </c>
      <c r="G57">
        <v>420</v>
      </c>
      <c r="H57">
        <v>520</v>
      </c>
      <c r="I57">
        <v>60</v>
      </c>
      <c r="J57">
        <f t="shared" si="0"/>
        <v>6000</v>
      </c>
      <c r="K57" t="str">
        <f t="shared" si="1"/>
        <v>Sufficient Stock</v>
      </c>
    </row>
    <row r="58" spans="1:11" x14ac:dyDescent="0.3">
      <c r="A58" t="s">
        <v>129</v>
      </c>
      <c r="B58" t="s">
        <v>130</v>
      </c>
      <c r="C58" t="s">
        <v>109</v>
      </c>
      <c r="D58" t="s">
        <v>19</v>
      </c>
      <c r="E58">
        <v>60</v>
      </c>
      <c r="F58">
        <v>30</v>
      </c>
      <c r="G58">
        <v>220</v>
      </c>
      <c r="H58">
        <v>280</v>
      </c>
      <c r="I58">
        <v>37</v>
      </c>
      <c r="J58">
        <f t="shared" si="0"/>
        <v>2220</v>
      </c>
      <c r="K58" t="str">
        <f t="shared" si="1"/>
        <v>Sufficient Stock</v>
      </c>
    </row>
    <row r="59" spans="1:11" x14ac:dyDescent="0.3">
      <c r="A59" t="s">
        <v>131</v>
      </c>
      <c r="B59" t="s">
        <v>132</v>
      </c>
      <c r="C59" t="s">
        <v>109</v>
      </c>
      <c r="D59" t="s">
        <v>31</v>
      </c>
      <c r="E59">
        <v>123</v>
      </c>
      <c r="F59">
        <v>25</v>
      </c>
      <c r="G59">
        <v>90</v>
      </c>
      <c r="H59">
        <v>110</v>
      </c>
      <c r="I59">
        <v>110</v>
      </c>
      <c r="J59">
        <f t="shared" si="0"/>
        <v>2200</v>
      </c>
      <c r="K59" t="str">
        <f t="shared" si="1"/>
        <v>Sufficient Stock</v>
      </c>
    </row>
    <row r="60" spans="1:11" x14ac:dyDescent="0.3">
      <c r="A60" t="s">
        <v>133</v>
      </c>
      <c r="B60" t="s">
        <v>134</v>
      </c>
      <c r="C60" t="s">
        <v>109</v>
      </c>
      <c r="D60" t="s">
        <v>31</v>
      </c>
      <c r="E60">
        <v>77</v>
      </c>
      <c r="F60">
        <v>20</v>
      </c>
      <c r="G60">
        <v>500</v>
      </c>
      <c r="H60">
        <v>620</v>
      </c>
      <c r="I60">
        <v>44</v>
      </c>
      <c r="J60">
        <f t="shared" si="0"/>
        <v>5280</v>
      </c>
      <c r="K60" t="str">
        <f t="shared" si="1"/>
        <v>Sufficient Stock</v>
      </c>
    </row>
    <row r="61" spans="1:11" x14ac:dyDescent="0.3">
      <c r="A61" t="s">
        <v>135</v>
      </c>
      <c r="B61" t="s">
        <v>136</v>
      </c>
      <c r="C61" t="s">
        <v>109</v>
      </c>
      <c r="D61" t="s">
        <v>34</v>
      </c>
      <c r="E61">
        <v>62</v>
      </c>
      <c r="F61">
        <v>25</v>
      </c>
      <c r="G61">
        <v>25</v>
      </c>
      <c r="H61">
        <v>30</v>
      </c>
      <c r="I61">
        <v>82</v>
      </c>
      <c r="J61">
        <f t="shared" si="0"/>
        <v>410</v>
      </c>
      <c r="K61" t="str">
        <f t="shared" si="1"/>
        <v>Sufficient Stock</v>
      </c>
    </row>
    <row r="62" spans="1:11" x14ac:dyDescent="0.3">
      <c r="A62" t="s">
        <v>137</v>
      </c>
      <c r="B62" t="s">
        <v>138</v>
      </c>
      <c r="C62" t="s">
        <v>139</v>
      </c>
      <c r="D62" t="s">
        <v>34</v>
      </c>
      <c r="E62">
        <v>93</v>
      </c>
      <c r="F62">
        <v>25</v>
      </c>
      <c r="G62">
        <v>420</v>
      </c>
      <c r="H62">
        <v>550</v>
      </c>
      <c r="I62">
        <v>93</v>
      </c>
      <c r="J62">
        <f t="shared" si="0"/>
        <v>12090</v>
      </c>
      <c r="K62" t="str">
        <f t="shared" si="1"/>
        <v>Sufficient Stock</v>
      </c>
    </row>
    <row r="63" spans="1:11" x14ac:dyDescent="0.3">
      <c r="A63" t="s">
        <v>140</v>
      </c>
      <c r="B63" t="s">
        <v>141</v>
      </c>
      <c r="C63" t="s">
        <v>139</v>
      </c>
      <c r="D63" t="s">
        <v>31</v>
      </c>
      <c r="E63">
        <v>81</v>
      </c>
      <c r="F63">
        <v>20</v>
      </c>
      <c r="G63">
        <v>70</v>
      </c>
      <c r="H63">
        <v>80</v>
      </c>
      <c r="I63">
        <v>75</v>
      </c>
      <c r="J63">
        <f t="shared" si="0"/>
        <v>750</v>
      </c>
      <c r="K63" t="str">
        <f t="shared" si="1"/>
        <v>Sufficient Stock</v>
      </c>
    </row>
    <row r="64" spans="1:11" x14ac:dyDescent="0.3">
      <c r="A64" t="s">
        <v>142</v>
      </c>
      <c r="B64" t="s">
        <v>143</v>
      </c>
      <c r="C64" t="s">
        <v>139</v>
      </c>
      <c r="D64" t="s">
        <v>22</v>
      </c>
      <c r="E64">
        <v>84</v>
      </c>
      <c r="F64">
        <v>25</v>
      </c>
      <c r="G64">
        <v>90</v>
      </c>
      <c r="H64">
        <v>120</v>
      </c>
      <c r="I64">
        <v>49</v>
      </c>
      <c r="J64">
        <f t="shared" si="0"/>
        <v>1470</v>
      </c>
      <c r="K64" t="str">
        <f t="shared" si="1"/>
        <v>Sufficient Stock</v>
      </c>
    </row>
    <row r="65" spans="1:11" x14ac:dyDescent="0.3">
      <c r="A65" t="s">
        <v>144</v>
      </c>
      <c r="B65" t="s">
        <v>145</v>
      </c>
      <c r="C65" t="s">
        <v>139</v>
      </c>
      <c r="D65" t="s">
        <v>31</v>
      </c>
      <c r="E65">
        <v>46</v>
      </c>
      <c r="F65">
        <v>40</v>
      </c>
      <c r="G65">
        <v>90</v>
      </c>
      <c r="H65">
        <v>120</v>
      </c>
      <c r="I65">
        <v>120</v>
      </c>
      <c r="J65">
        <f t="shared" si="0"/>
        <v>3600</v>
      </c>
      <c r="K65" t="str">
        <f t="shared" si="1"/>
        <v>Sufficient Stock</v>
      </c>
    </row>
    <row r="66" spans="1:11" x14ac:dyDescent="0.3">
      <c r="A66" t="s">
        <v>146</v>
      </c>
      <c r="B66" t="s">
        <v>147</v>
      </c>
      <c r="C66" t="s">
        <v>139</v>
      </c>
      <c r="D66" t="s">
        <v>59</v>
      </c>
      <c r="E66">
        <v>73</v>
      </c>
      <c r="F66">
        <v>15</v>
      </c>
      <c r="G66">
        <v>25</v>
      </c>
      <c r="H66">
        <v>40</v>
      </c>
      <c r="I66">
        <v>110</v>
      </c>
      <c r="J66">
        <f t="shared" si="0"/>
        <v>1650</v>
      </c>
      <c r="K66" t="str">
        <f t="shared" si="1"/>
        <v>Sufficient Stock</v>
      </c>
    </row>
    <row r="67" spans="1:11" x14ac:dyDescent="0.3">
      <c r="A67" t="s">
        <v>148</v>
      </c>
      <c r="B67" t="s">
        <v>149</v>
      </c>
      <c r="C67" t="s">
        <v>139</v>
      </c>
      <c r="D67" t="s">
        <v>34</v>
      </c>
      <c r="E67">
        <v>27</v>
      </c>
      <c r="F67">
        <v>30</v>
      </c>
      <c r="G67">
        <v>180</v>
      </c>
      <c r="H67">
        <v>220</v>
      </c>
      <c r="I67">
        <v>111</v>
      </c>
      <c r="J67">
        <f t="shared" ref="J67:J76" si="3">(H67-G67)*I67</f>
        <v>4440</v>
      </c>
      <c r="K67" t="str">
        <f t="shared" ref="K67:K76" si="4">IF(E67&lt;F67, "Reorder Needed", "Sufficient Stock")</f>
        <v>Reorder Needed</v>
      </c>
    </row>
    <row r="68" spans="1:11" x14ac:dyDescent="0.3">
      <c r="A68" t="s">
        <v>150</v>
      </c>
      <c r="B68" t="s">
        <v>151</v>
      </c>
      <c r="C68" t="s">
        <v>139</v>
      </c>
      <c r="D68" t="s">
        <v>11</v>
      </c>
      <c r="E68">
        <v>65</v>
      </c>
      <c r="F68">
        <v>25</v>
      </c>
      <c r="G68">
        <v>260</v>
      </c>
      <c r="H68">
        <v>330</v>
      </c>
      <c r="I68">
        <v>36</v>
      </c>
      <c r="J68">
        <f t="shared" si="3"/>
        <v>2520</v>
      </c>
      <c r="K68" t="str">
        <f t="shared" si="4"/>
        <v>Sufficient Stock</v>
      </c>
    </row>
    <row r="69" spans="1:11" x14ac:dyDescent="0.3">
      <c r="A69" t="s">
        <v>152</v>
      </c>
      <c r="B69" t="s">
        <v>153</v>
      </c>
      <c r="C69" t="s">
        <v>139</v>
      </c>
      <c r="D69" t="s">
        <v>31</v>
      </c>
      <c r="E69">
        <v>140</v>
      </c>
      <c r="F69">
        <v>30</v>
      </c>
      <c r="G69">
        <v>220</v>
      </c>
      <c r="H69">
        <v>250</v>
      </c>
      <c r="I69">
        <v>99</v>
      </c>
      <c r="J69">
        <f t="shared" si="3"/>
        <v>2970</v>
      </c>
      <c r="K69" t="str">
        <f t="shared" si="4"/>
        <v>Sufficient Stock</v>
      </c>
    </row>
    <row r="70" spans="1:11" x14ac:dyDescent="0.3">
      <c r="A70" t="s">
        <v>154</v>
      </c>
      <c r="B70" t="s">
        <v>155</v>
      </c>
      <c r="C70" t="s">
        <v>139</v>
      </c>
      <c r="D70" t="s">
        <v>22</v>
      </c>
      <c r="E70">
        <v>77</v>
      </c>
      <c r="F70">
        <v>15</v>
      </c>
      <c r="G70">
        <v>40</v>
      </c>
      <c r="H70">
        <v>50</v>
      </c>
      <c r="I70">
        <v>46</v>
      </c>
      <c r="J70">
        <f t="shared" si="3"/>
        <v>460</v>
      </c>
      <c r="K70" t="str">
        <f t="shared" si="4"/>
        <v>Sufficient Stock</v>
      </c>
    </row>
    <row r="71" spans="1:11" x14ac:dyDescent="0.3">
      <c r="A71" t="s">
        <v>156</v>
      </c>
      <c r="B71" t="s">
        <v>157</v>
      </c>
      <c r="C71" t="s">
        <v>139</v>
      </c>
      <c r="D71" t="s">
        <v>34</v>
      </c>
      <c r="E71">
        <v>45</v>
      </c>
      <c r="F71">
        <v>30</v>
      </c>
      <c r="G71">
        <v>220</v>
      </c>
      <c r="H71">
        <v>280</v>
      </c>
      <c r="I71">
        <v>23</v>
      </c>
      <c r="J71">
        <f t="shared" si="3"/>
        <v>1380</v>
      </c>
      <c r="K71" t="str">
        <f t="shared" si="4"/>
        <v>Sufficient Stock</v>
      </c>
    </row>
    <row r="72" spans="1:11" x14ac:dyDescent="0.3">
      <c r="A72" t="s">
        <v>158</v>
      </c>
      <c r="B72" t="s">
        <v>159</v>
      </c>
      <c r="C72" t="s">
        <v>139</v>
      </c>
      <c r="D72" t="s">
        <v>22</v>
      </c>
      <c r="E72">
        <v>45</v>
      </c>
      <c r="F72">
        <v>30</v>
      </c>
      <c r="G72">
        <v>90</v>
      </c>
      <c r="H72">
        <v>110</v>
      </c>
      <c r="I72">
        <v>108</v>
      </c>
      <c r="J72">
        <f t="shared" si="3"/>
        <v>2160</v>
      </c>
      <c r="K72" t="str">
        <f t="shared" si="4"/>
        <v>Sufficient Stock</v>
      </c>
    </row>
    <row r="73" spans="1:11" x14ac:dyDescent="0.3">
      <c r="A73" t="s">
        <v>160</v>
      </c>
      <c r="B73" t="s">
        <v>161</v>
      </c>
      <c r="C73" t="s">
        <v>139</v>
      </c>
      <c r="D73" t="s">
        <v>19</v>
      </c>
      <c r="E73">
        <v>75</v>
      </c>
      <c r="F73">
        <v>25</v>
      </c>
      <c r="G73">
        <v>110</v>
      </c>
      <c r="H73">
        <v>140</v>
      </c>
      <c r="I73">
        <v>46</v>
      </c>
      <c r="J73">
        <f t="shared" si="3"/>
        <v>1380</v>
      </c>
      <c r="K73" t="str">
        <f t="shared" si="4"/>
        <v>Sufficient Stock</v>
      </c>
    </row>
    <row r="74" spans="1:11" x14ac:dyDescent="0.3">
      <c r="A74" t="s">
        <v>162</v>
      </c>
      <c r="B74" t="s">
        <v>163</v>
      </c>
      <c r="C74" t="s">
        <v>139</v>
      </c>
      <c r="D74" t="s">
        <v>22</v>
      </c>
      <c r="E74">
        <v>40</v>
      </c>
      <c r="F74">
        <v>40</v>
      </c>
      <c r="G74">
        <v>220</v>
      </c>
      <c r="H74">
        <v>250</v>
      </c>
      <c r="I74">
        <v>13</v>
      </c>
      <c r="J74">
        <f t="shared" si="3"/>
        <v>390</v>
      </c>
      <c r="K74" t="str">
        <f t="shared" si="4"/>
        <v>Sufficient Stock</v>
      </c>
    </row>
    <row r="75" spans="1:11" x14ac:dyDescent="0.3">
      <c r="A75" t="s">
        <v>164</v>
      </c>
      <c r="B75" t="s">
        <v>165</v>
      </c>
      <c r="C75" t="s">
        <v>139</v>
      </c>
      <c r="D75" t="s">
        <v>34</v>
      </c>
      <c r="E75">
        <v>81</v>
      </c>
      <c r="F75">
        <v>20</v>
      </c>
      <c r="G75">
        <v>180</v>
      </c>
      <c r="H75">
        <v>250</v>
      </c>
      <c r="I75">
        <v>116</v>
      </c>
      <c r="J75">
        <f t="shared" si="3"/>
        <v>8120</v>
      </c>
      <c r="K75" t="str">
        <f t="shared" si="4"/>
        <v>Sufficient Stock</v>
      </c>
    </row>
    <row r="76" spans="1:11" x14ac:dyDescent="0.3">
      <c r="A76" t="s">
        <v>166</v>
      </c>
      <c r="B76" t="s">
        <v>167</v>
      </c>
      <c r="C76" t="s">
        <v>139</v>
      </c>
      <c r="D76" t="s">
        <v>59</v>
      </c>
      <c r="E76">
        <v>32</v>
      </c>
      <c r="F76">
        <v>30</v>
      </c>
      <c r="G76">
        <v>500</v>
      </c>
      <c r="H76">
        <v>650</v>
      </c>
      <c r="I76">
        <v>35</v>
      </c>
      <c r="J76">
        <f t="shared" si="3"/>
        <v>5250</v>
      </c>
      <c r="K76" t="str">
        <f t="shared" si="4"/>
        <v>Sufficient Stock</v>
      </c>
    </row>
  </sheetData>
  <conditionalFormatting sqref="K2:K76">
    <cfRule type="cellIs" dxfId="2" priority="2" operator="equal">
      <formula>"Reorder Needed"</formula>
    </cfRule>
  </conditionalFormatting>
  <conditionalFormatting sqref="K1:K1048576">
    <cfRule type="cellIs" dxfId="0" priority="1" operator="equal">
      <formula>"sufficient stock"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shop_inventory_data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afnan ak</dc:creator>
  <cp:lastModifiedBy>afnan ak</cp:lastModifiedBy>
  <cp:lastPrinted>2026-10-05T08:41:32Z</cp:lastPrinted>
  <dcterms:created xsi:type="dcterms:W3CDTF">2026-10-04T16:39:26Z</dcterms:created>
  <dcterms:modified xsi:type="dcterms:W3CDTF">2026-10-05T09:35:39Z</dcterms:modified>
</cp:coreProperties>
</file>